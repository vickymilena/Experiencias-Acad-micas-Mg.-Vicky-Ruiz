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e825bfa3a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" sheetId="1" r:id="R3cb39e7eb8234e3c"/>
    <x:sheet xmlns:r="http://schemas.openxmlformats.org/officeDocument/2006/relationships" name="PROPUESTO" sheetId="2" r:id="R3c23198d7f664c43"/>
    <x:sheet xmlns:r="http://schemas.openxmlformats.org/officeDocument/2006/relationships" name="ANÁLISIS" sheetId="3" r:id="R07c72abf6f9b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41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6"/>
      <x:color rgb="FFA84F1F"/>
      <x:name val="Aptos"/>
    </x:font>
    <x:font>
      <x:i/>
      <x:sz val="9"/>
      <x:color rgb="FF5D6570"/>
      <x:name val="Aptos"/>
    </x:font>
    <x:font>
      <x:b/>
      <x:sz val="10"/>
      <x:color rgb="FF222222"/>
      <x:name val="Aptos"/>
    </x:font>
    <x:font>
      <x:b/>
      <x:sz val="10"/>
      <x:color rgb="FFA84F1F"/>
      <x:name val="Aptos"/>
    </x:font>
    <x:font>
      <x:b/>
      <x:sz val="10"/>
      <x:color rgb="FFFFFFFF"/>
      <x:name val="Aptos"/>
    </x:font>
    <x:font>
      <x:b/>
      <x:sz val="9"/>
      <x:color rgb="FF222222"/>
      <x:name val="Aptos"/>
    </x:font>
    <x:font>
      <x:b/>
      <x:sz val="8.5"/>
      <x:color rgb="FF222222"/>
      <x:name val="Aptos"/>
    </x:font>
    <x:font>
      <x:b/>
      <x:sz val="14"/>
      <x:color rgb="FF1468CB"/>
      <x:name val="Aptos"/>
    </x:font>
    <x:font>
      <x:sz val="10"/>
      <x:color rgb="FF222222"/>
      <x:name val="Aptos"/>
    </x:font>
    <x:font>
      <x:sz val="8"/>
      <x:name val="Aptos"/>
    </x:font>
    <x:font>
      <x:b/>
      <x:sz val="14"/>
      <x:color rgb="FFFFDB31"/>
      <x:name val="Aptos"/>
    </x:font>
    <x:font>
      <x:b/>
      <x:sz val="14"/>
      <x:color rgb="FFF18B15"/>
      <x:name val="Aptos"/>
    </x:font>
    <x:font>
      <x:b/>
      <x:sz val="14"/>
      <x:color rgb="FF00A975"/>
      <x:name val="Aptos"/>
    </x:font>
    <x:font>
      <x:b/>
      <x:sz val="14"/>
      <x:color rgb="FFE62E35"/>
      <x:name val="Aptos"/>
    </x:font>
    <x:font>
      <x:sz val="10"/>
      <x:color rgb="FFA84F1F"/>
      <x:name val="Aptos"/>
    </x:font>
    <x:font>
      <x:i/>
      <x:sz val="9"/>
      <x:color rgb="FF873B1D"/>
      <x:name val="Aptos"/>
    </x:font>
    <x:font>
      <x:b/>
      <x:sz val="8.5"/>
      <x:color rgb="FFFFFFFF"/>
      <x:name val="Aptos"/>
    </x:font>
    <x:font>
      <x:b/>
      <x:sz val="8"/>
      <x:color rgb="FF222222"/>
      <x:name val="Aptos"/>
    </x:font>
    <x:font>
      <x:sz val="10"/>
      <x:color rgb="FF1468CB"/>
      <x:name val="Aptos"/>
    </x:font>
    <x:font>
      <x:b/>
      <x:sz val="10"/>
      <x:color rgb="FF1468CB"/>
      <x:name val="Aptos"/>
    </x:font>
    <x:font>
      <x:b/>
      <x:sz val="13"/>
      <x:color rgb="FF1468CB"/>
      <x:name val="Aptos"/>
    </x:font>
    <x:font>
      <x:sz val="10"/>
      <x:color rgb="FFB99A00"/>
      <x:name val="Aptos"/>
    </x:font>
    <x:font>
      <x:b/>
      <x:sz val="10"/>
      <x:color rgb="FFB99A00"/>
      <x:name val="Aptos"/>
    </x:font>
    <x:font>
      <x:b/>
      <x:sz val="13"/>
      <x:color rgb="FFB99A00"/>
      <x:name val="Aptos"/>
    </x:font>
    <x:font>
      <x:sz val="10"/>
      <x:color rgb="FFE26B0A"/>
      <x:name val="Aptos"/>
    </x:font>
    <x:font>
      <x:b/>
      <x:sz val="10"/>
      <x:color rgb="FFE26B0A"/>
      <x:name val="Aptos"/>
    </x:font>
    <x:font>
      <x:b/>
      <x:sz val="13"/>
      <x:color rgb="FFE26B0A"/>
      <x:name val="Aptos"/>
    </x:font>
    <x:font>
      <x:sz val="10"/>
      <x:color rgb="FF00A975"/>
      <x:name val="Aptos"/>
    </x:font>
    <x:font>
      <x:b/>
      <x:sz val="10"/>
      <x:color rgb="FF00A975"/>
      <x:name val="Aptos"/>
    </x:font>
    <x:font>
      <x:b/>
      <x:sz val="13"/>
      <x:color rgb="FF00A975"/>
      <x:name val="Aptos"/>
    </x:font>
    <x:font>
      <x:sz val="10"/>
      <x:color rgb="FFE62E35"/>
      <x:name val="Aptos"/>
    </x:font>
    <x:font>
      <x:b/>
      <x:sz val="10"/>
      <x:color rgb="FFE62E35"/>
      <x:name val="Aptos"/>
    </x:font>
    <x:font>
      <x:b/>
      <x:sz val="13"/>
      <x:color rgb="FFE62E35"/>
      <x:name val="Aptos"/>
    </x:font>
    <x:font>
      <x:b/>
      <x:sz val="10"/>
      <x:name val="Aptos"/>
    </x:font>
    <x:font>
      <x:sz val="10"/>
      <x:color rgb="FF222222"/>
      <x:name val="Aptos"/>
    </x:font>
    <x:font>
      <x:sz val="9"/>
      <x:color rgb="FF5D6570"/>
      <x:name val="Aptos"/>
    </x:font>
    <x:font>
      <x:i/>
      <x:sz val="9"/>
      <x:color rgb="FF803B14"/>
      <x:name val="Aptos"/>
    </x:font>
    <x:font>
      <x:sz val="9.5"/>
      <x:color rgb="FF222222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E8E8E8"/>
      </x:patternFill>
    </x:fill>
    <x:fill>
      <x:patternFill patternType="solid">
        <x:fgColor rgb="FFFFF2E8"/>
      </x:patternFill>
    </x:fill>
    <x:fill>
      <x:patternFill patternType="solid">
        <x:fgColor rgb="FF303842"/>
      </x:patternFill>
    </x:fill>
    <x:fill>
      <x:patternFill patternType="solid">
        <x:fgColor rgb="FFFFF8E8"/>
      </x:patternFill>
    </x:fill>
    <x:fill>
      <x:patternFill patternType="solid">
        <x:fgColor rgb="FFE0E0E0"/>
      </x:patternFill>
    </x:fill>
    <x:fill>
      <x:patternFill patternType="solid">
        <x:fgColor rgb="FFE9F2FC"/>
      </x:patternFill>
    </x:fill>
    <x:fill>
      <x:patternFill patternType="solid">
        <x:fgColor rgb="FFEBEBEB"/>
      </x:patternFill>
    </x:fill>
    <x:fill>
      <x:patternFill patternType="solid">
        <x:fgColor rgb="FFE1E1E1"/>
      </x:patternFill>
    </x:fill>
    <x:fill>
      <x:patternFill patternType="solid">
        <x:fgColor rgb="FFD6D6D6"/>
      </x:patternFill>
    </x:fill>
    <x:fill>
      <x:patternFill patternType="solid">
        <x:fgColor rgb="FFF1F1F1"/>
      </x:patternFill>
    </x:fill>
    <x:fill>
      <x:patternFill patternType="solid">
        <x:fgColor rgb="FFF7F7F7"/>
      </x:patternFill>
    </x:fill>
    <x:fill>
      <x:patternFill patternType="solid">
        <x:fgColor rgb="FFF2F2F2"/>
      </x:patternFill>
    </x:fill>
    <x:fill>
      <x:patternFill patternType="solid">
        <x:fgColor rgb="FFF9F9F9"/>
      </x:patternFill>
    </x:fill>
    <x:fill>
      <x:patternFill patternType="solid">
        <x:fgColor rgb="FFA84F1F"/>
      </x:patternFill>
    </x:fill>
    <x:fill>
      <x:patternFill patternType="solid">
        <x:fgColor rgb="FFFAFAFA"/>
      </x:patternFill>
    </x:fill>
  </x:fills>
  <x:borders count="36">
    <x:border/>
    <x:border/>
    <x:border>
      <x:left style="thin">
        <x:color rgb="FF343434"/>
      </x:left>
      <x:top style="thin">
        <x:color rgb="FF343434"/>
      </x:top>
    </x:border>
    <x:border>
      <x:top style="thin">
        <x:color rgb="FF343434"/>
      </x:top>
    </x:border>
    <x:border>
      <x:right style="thin">
        <x:color rgb="FF343434"/>
      </x:right>
      <x:top style="thin">
        <x:color rgb="FF343434"/>
      </x:top>
    </x:border>
    <x:border>
      <x:left style="thin">
        <x:color rgb="FF343434"/>
      </x:left>
      <x:bottom style="thin">
        <x:color rgb="FF343434"/>
      </x:bottom>
    </x:border>
    <x:border>
      <x:bottom style="thin">
        <x:color rgb="FF343434"/>
      </x:bottom>
    </x:border>
    <x:border>
      <x:right style="thin">
        <x:color rgb="FF343434"/>
      </x:right>
      <x:bottom style="thin">
        <x:color rgb="FF343434"/>
      </x:bottom>
    </x:border>
    <x:border>
      <x:left style="thin">
        <x:color rgb="FF343434"/>
      </x:left>
      <x:top style="thin">
        <x:color rgb="FF343434"/>
      </x:top>
    </x:border>
    <x:border>
      <x:top style="thin">
        <x:color rgb="FF343434"/>
      </x:top>
    </x:border>
    <x:border>
      <x:right style="thin">
        <x:color rgb="FF343434"/>
      </x:right>
      <x:top style="thin">
        <x:color rgb="FF343434"/>
      </x:top>
    </x:border>
    <x:border>
      <x:left style="thin">
        <x:color rgb="FF343434"/>
      </x:left>
      <x:bottom style="thin">
        <x:color rgb="FF343434"/>
      </x:bottom>
    </x:border>
    <x:border>
      <x:bottom style="thin">
        <x:color rgb="FF343434"/>
      </x:bottom>
    </x:border>
    <x:border>
      <x:right style="thin">
        <x:color rgb="FF343434"/>
      </x:right>
      <x:bottom style="thin">
        <x:color rgb="FF343434"/>
      </x:bottom>
    </x:border>
    <x:border>
      <x:left style="thin">
        <x:color rgb="FF343434"/>
      </x:left>
    </x:border>
    <x:border>
      <x:right style="thin">
        <x:color rgb="FF343434"/>
      </x:right>
    </x:border>
    <x:border>
      <x:left style="thin">
        <x:color rgb="FF343434"/>
      </x:left>
    </x:border>
    <x:border>
      <x:right style="thin">
        <x:color rgb="FF343434"/>
      </x:right>
    </x:border>
    <x:border>
      <x:left style="thin">
        <x:color rgb="FF343434"/>
      </x:left>
      <x:right style="thin">
        <x:color rgb="FFB9B9B9"/>
      </x:right>
      <x:top style="thin">
        <x:color rgb="FF343434"/>
      </x:top>
      <x:bottom style="thin">
        <x:color rgb="FFB9B9B9"/>
      </x:bottom>
    </x:border>
    <x:border>
      <x:left style="thin">
        <x:color rgb="FFB9B9B9"/>
      </x:left>
      <x:right style="thin">
        <x:color rgb="FFB9B9B9"/>
      </x:right>
      <x:top style="thin">
        <x:color rgb="FF343434"/>
      </x:top>
      <x:bottom style="thin">
        <x:color rgb="FFB9B9B9"/>
      </x:bottom>
    </x:border>
    <x:border>
      <x:left style="thin">
        <x:color rgb="FFB9B9B9"/>
      </x:left>
      <x:right style="thin">
        <x:color rgb="FF343434"/>
      </x:right>
      <x:top style="thin">
        <x:color rgb="FF343434"/>
      </x:top>
      <x:bottom style="thin">
        <x:color rgb="FFB9B9B9"/>
      </x:bottom>
    </x:border>
    <x:border>
      <x:left style="thin">
        <x:color rgb="FF343434"/>
      </x:left>
      <x:right style="thin">
        <x:color rgb="FFB9B9B9"/>
      </x:right>
      <x:top style="thin">
        <x:color rgb="FFB9B9B9"/>
      </x:top>
      <x:bottom style="thin">
        <x:color rgb="FFB9B9B9"/>
      </x:bottom>
    </x:border>
    <x:border>
      <x:left style="thin">
        <x:color rgb="FFB9B9B9"/>
      </x:left>
      <x:right style="thin">
        <x:color rgb="FFB9B9B9"/>
      </x:right>
      <x:top style="thin">
        <x:color rgb="FFB9B9B9"/>
      </x:top>
      <x:bottom style="thin">
        <x:color rgb="FFB9B9B9"/>
      </x:bottom>
    </x:border>
    <x:border>
      <x:left style="thin">
        <x:color rgb="FFB9B9B9"/>
      </x:left>
      <x:right style="thin">
        <x:color rgb="FF343434"/>
      </x:right>
      <x:top style="thin">
        <x:color rgb="FFB9B9B9"/>
      </x:top>
      <x:bottom style="thin">
        <x:color rgb="FFB9B9B9"/>
      </x:bottom>
    </x:border>
    <x:border>
      <x:left style="thin">
        <x:color rgb="FF343434"/>
      </x:left>
      <x:right style="thin">
        <x:color rgb="FFB9B9B9"/>
      </x:right>
      <x:top style="thin">
        <x:color rgb="FFB9B9B9"/>
      </x:top>
      <x:bottom style="thin">
        <x:color rgb="FF343434"/>
      </x:bottom>
    </x:border>
    <x:border>
      <x:left style="thin">
        <x:color rgb="FFB9B9B9"/>
      </x:left>
      <x:right style="thin">
        <x:color rgb="FFB9B9B9"/>
      </x:right>
      <x:top style="thin">
        <x:color rgb="FFB9B9B9"/>
      </x:top>
      <x:bottom style="thin">
        <x:color rgb="FF343434"/>
      </x:bottom>
    </x:border>
    <x:border>
      <x:left style="thin">
        <x:color rgb="FFB9B9B9"/>
      </x:left>
      <x:right style="thin">
        <x:color rgb="FF343434"/>
      </x:right>
      <x:top style="thin">
        <x:color rgb="FFB9B9B9"/>
      </x:top>
      <x:bottom style="thin">
        <x:color rgb="FF343434"/>
      </x:bottom>
    </x:border>
    <x:border>
      <x:left style="thin">
        <x:color rgb="FF343434"/>
      </x:left>
      <x:right style="thin">
        <x:color rgb="FFB9B9B9"/>
      </x:right>
      <x:top style="thin">
        <x:color rgb="FF343434"/>
      </x:top>
      <x:bottom style="thin">
        <x:color rgb="FFB9B9B9"/>
      </x:bottom>
    </x:border>
    <x:border>
      <x:left style="thin">
        <x:color rgb="FFB9B9B9"/>
      </x:left>
      <x:right style="thin">
        <x:color rgb="FFB9B9B9"/>
      </x:right>
      <x:top style="thin">
        <x:color rgb="FF343434"/>
      </x:top>
      <x:bottom style="thin">
        <x:color rgb="FFB9B9B9"/>
      </x:bottom>
    </x:border>
    <x:border>
      <x:left style="thin">
        <x:color rgb="FFB9B9B9"/>
      </x:left>
      <x:right style="thin">
        <x:color rgb="FF343434"/>
      </x:right>
      <x:top style="thin">
        <x:color rgb="FF343434"/>
      </x:top>
      <x:bottom style="thin">
        <x:color rgb="FFB9B9B9"/>
      </x:bottom>
    </x:border>
    <x:border>
      <x:left style="thin">
        <x:color rgb="FF343434"/>
      </x:left>
      <x:right style="thin">
        <x:color rgb="FFB9B9B9"/>
      </x:right>
      <x:top style="thin">
        <x:color rgb="FFB9B9B9"/>
      </x:top>
      <x:bottom style="thin">
        <x:color rgb="FFB9B9B9"/>
      </x:bottom>
    </x:border>
    <x:border>
      <x:left style="thin">
        <x:color rgb="FFB9B9B9"/>
      </x:left>
      <x:right style="thin">
        <x:color rgb="FFB9B9B9"/>
      </x:right>
      <x:top style="thin">
        <x:color rgb="FFB9B9B9"/>
      </x:top>
      <x:bottom style="thin">
        <x:color rgb="FFB9B9B9"/>
      </x:bottom>
    </x:border>
    <x:border>
      <x:left style="thin">
        <x:color rgb="FFB9B9B9"/>
      </x:left>
      <x:right style="thin">
        <x:color rgb="FF343434"/>
      </x:right>
      <x:top style="thin">
        <x:color rgb="FFB9B9B9"/>
      </x:top>
      <x:bottom style="thin">
        <x:color rgb="FFB9B9B9"/>
      </x:bottom>
    </x:border>
    <x:border>
      <x:left style="thin">
        <x:color rgb="FF343434"/>
      </x:left>
      <x:right style="thin">
        <x:color rgb="FFB9B9B9"/>
      </x:right>
      <x:top style="thin">
        <x:color rgb="FFB9B9B9"/>
      </x:top>
      <x:bottom style="thin">
        <x:color rgb="FF343434"/>
      </x:bottom>
    </x:border>
    <x:border>
      <x:left style="thin">
        <x:color rgb="FFB9B9B9"/>
      </x:left>
      <x:right style="thin">
        <x:color rgb="FFB9B9B9"/>
      </x:right>
      <x:top style="thin">
        <x:color rgb="FFB9B9B9"/>
      </x:top>
      <x:bottom style="thin">
        <x:color rgb="FF343434"/>
      </x:bottom>
    </x:border>
    <x:border>
      <x:left style="thin">
        <x:color rgb="FFB9B9B9"/>
      </x:left>
      <x:right style="thin">
        <x:color rgb="FF343434"/>
      </x:right>
      <x:top style="thin">
        <x:color rgb="FFB9B9B9"/>
      </x:top>
      <x:bottom style="thin">
        <x:color rgb="FF343434"/>
      </x:bottom>
    </x:border>
  </x:borders>
  <x:cellStyleXfs count="1">
    <x:xf numFmtId="0" fontId="0" fillId="0" borderId="0"/>
  </x:cellStyleXfs>
  <x:cellXfs count="5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2" fillId="4" borderId="1" xfId="0" applyNumberFormat="1" applyFont="1" applyFill="1" applyBorder="1"/>
    <x:xf numFmtId="0" fontId="5" fillId="4" borderId="1" xfId="0" applyNumberFormat="1" applyFont="1" applyFill="1" applyBorder="1"/>
    <x:xf numFmtId="0" fontId="2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2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horizontal="center"/>
    </x:xf>
    <x:xf numFmtId="0" fontId="9" fillId="8" borderId="1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center"/>
    </x:xf>
    <x:xf numFmtId="0" fontId="14" fillId="0" borderId="1" xfId="0" applyNumberFormat="1" applyFont="1" applyFill="1" applyBorder="1"/>
    <x:xf numFmtId="0" fontId="14" fillId="0" borderId="1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5" fillId="0" borderId="1" xfId="0" applyNumberFormat="1" applyFont="1" applyFill="1" applyBorder="1"/>
    <x:xf numFmtId="0" fontId="15" fillId="0" borderId="1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horizontal="center"/>
    </x:xf>
    <x:xf numFmtId="0" fontId="16" fillId="0" borderId="1" xfId="0" applyNumberFormat="1" applyFont="1" applyFill="1" applyBorder="1"/>
    <x:xf numFmtId="0" fontId="16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/>
    </x:xf>
    <x:xf numFmtId="0" fontId="2" fillId="9" borderId="1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horizontal="center"/>
    </x:xf>
    <x:xf numFmtId="0" fontId="17" fillId="9" borderId="1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/>
    <x:xf numFmtId="0" fontId="18" fillId="5" borderId="1" xfId="0" applyNumberFormat="1" applyFont="1" applyFill="1" applyBorder="1"/>
    <x:xf numFmtId="0" fontId="19" fillId="6" borderId="0" xfId="0" applyNumberFormat="1" applyFont="1" applyFill="1" applyBorder="1"/>
    <x:xf numFmtId="0" fontId="19" fillId="6" borderId="0" xfId="0" applyNumberFormat="1" applyFont="1" applyFill="1" applyBorder="1" applyAlignment="1">
      <x:alignment wrapText="1"/>
    </x:xf>
    <x:xf numFmtId="0" fontId="19" fillId="6" borderId="0" xfId="0" applyNumberFormat="1" applyFont="1" applyFill="1" applyBorder="1" applyAlignment="1">
      <x:alignment horizont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1" xfId="0" applyNumberFormat="1" applyFont="1" applyFill="1" applyBorder="1"/>
    <x:xf numFmtId="0" fontId="19" fillId="6" borderId="1" xfId="0" applyNumberFormat="1" applyFont="1" applyFill="1" applyBorder="1" applyAlignment="1">
      <x:alignment wrapText="1"/>
    </x:xf>
    <x:xf numFmtId="0" fontId="19" fillId="6" borderId="1" xfId="0" applyNumberFormat="1" applyFont="1" applyFill="1" applyBorder="1" applyAlignment="1">
      <x:alignment horizontal="center" wrapText="1"/>
    </x:xf>
    <x:xf numFmtId="0" fontId="19" fillId="6" borderId="1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2" fillId="10" borderId="1" xfId="0" applyNumberFormat="1" applyFont="1" applyFill="1" applyBorder="1"/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horizontal="center"/>
    </x:xf>
    <x:xf numFmtId="0" fontId="10" fillId="10" borderId="1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 vertical="center"/>
    </x:xf>
    <x:xf numFmtId="0" fontId="13" fillId="10" borderId="1" xfId="0" applyNumberFormat="1" applyFont="1" applyFill="1" applyBorder="1"/>
    <x:xf numFmtId="0" fontId="13" fillId="10" borderId="1" xfId="0" applyNumberFormat="1" applyFont="1" applyFill="1" applyBorder="1" applyAlignment="1">
      <x:alignment horizontal="center"/>
    </x:xf>
    <x:xf numFmtId="0" fontId="13" fillId="10" borderId="1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 applyAlignment="1">
      <x:alignment horizontal="center" vertical="center"/>
    </x:xf>
    <x:xf numFmtId="0" fontId="14" fillId="10" borderId="1" xfId="0" applyNumberFormat="1" applyFont="1" applyFill="1" applyBorder="1"/>
    <x:xf numFmtId="0" fontId="14" fillId="10" borderId="1" xfId="0" applyNumberFormat="1" applyFont="1" applyFill="1" applyBorder="1" applyAlignment="1">
      <x:alignment horizontal="center"/>
    </x:xf>
    <x:xf numFmtId="0" fontId="14" fillId="10" borderId="1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horizontal="center"/>
    </x:xf>
    <x:xf numFmtId="0" fontId="15" fillId="10" borderId="0" xfId="0" applyNumberFormat="1" applyFont="1" applyFill="1" applyBorder="1" applyAlignment="1">
      <x:alignment horizontal="center" vertical="center"/>
    </x:xf>
    <x:xf numFmtId="0" fontId="15" fillId="10" borderId="1" xfId="0" applyNumberFormat="1" applyFont="1" applyFill="1" applyBorder="1"/>
    <x:xf numFmtId="0" fontId="15" fillId="10" borderId="1" xfId="0" applyNumberFormat="1" applyFont="1" applyFill="1" applyBorder="1" applyAlignment="1">
      <x:alignment horizontal="center"/>
    </x:xf>
    <x:xf numFmtId="0" fontId="15" fillId="10" borderId="1" xfId="0" applyNumberFormat="1" applyFont="1" applyFill="1" applyBorder="1" applyAlignment="1">
      <x:alignment horizontal="center" vertical="center"/>
    </x:xf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horizontal="center"/>
    </x:xf>
    <x:xf numFmtId="0" fontId="16" fillId="10" borderId="0" xfId="0" applyNumberFormat="1" applyFont="1" applyFill="1" applyBorder="1" applyAlignment="1">
      <x:alignment horizontal="center" vertical="center"/>
    </x:xf>
    <x:xf numFmtId="0" fontId="16" fillId="10" borderId="1" xfId="0" applyNumberFormat="1" applyFont="1" applyFill="1" applyBorder="1"/>
    <x:xf numFmtId="0" fontId="16" fillId="10" borderId="1" xfId="0" applyNumberFormat="1" applyFont="1" applyFill="1" applyBorder="1" applyAlignment="1">
      <x:alignment horizontal="center"/>
    </x:xf>
    <x:xf numFmtId="0" fontId="16" fillId="10" borderId="1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/>
    <x:xf numFmtId="0" fontId="20" fillId="11" borderId="0" xfId="0" applyNumberFormat="1" applyFont="1" applyFill="1" applyBorder="1"/>
    <x:xf numFmtId="0" fontId="20" fillId="11" borderId="0" xfId="0" applyNumberFormat="1" applyFont="1" applyFill="1" applyBorder="1" applyAlignment="1">
      <x:alignment horizontal="center"/>
    </x:xf>
    <x:xf numFmtId="0" fontId="2" fillId="11" borderId="1" xfId="0" applyNumberFormat="1" applyFont="1" applyFill="1" applyBorder="1"/>
    <x:xf numFmtId="0" fontId="20" fillId="11" borderId="1" xfId="0" applyNumberFormat="1" applyFont="1" applyFill="1" applyBorder="1"/>
    <x:xf numFmtId="0" fontId="20" fillId="11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7" borderId="0" xfId="0" applyNumberFormat="1" applyFont="1" applyFill="1" applyBorder="1" applyAlignment="1">
      <x:alignment wrapText="0"/>
    </x:xf>
    <x:xf numFmtId="0" fontId="2" fillId="7" borderId="1" xfId="0" applyNumberFormat="1" applyFont="1" applyFill="1" applyBorder="1" applyAlignment="1">
      <x:alignment wrapText="0"/>
    </x:xf>
    <x:xf numFmtId="0" fontId="2" fillId="12" borderId="0" xfId="0" applyNumberFormat="1" applyFont="1" applyFill="1" applyBorder="1"/>
    <x:xf numFmtId="0" fontId="2" fillId="12" borderId="1" xfId="0" applyNumberFormat="1" applyFont="1" applyFill="1" applyBorder="1"/>
    <x:xf numFmtId="0" fontId="2" fillId="9" borderId="0" xfId="0" applyNumberFormat="1" applyFont="1" applyFill="1" applyBorder="1"/>
    <x:xf numFmtId="0" fontId="2" fillId="9" borderId="1" xfId="0" applyNumberFormat="1" applyFont="1" applyFill="1" applyBorder="1"/>
    <x:xf numFmtId="200" fontId="2" fillId="7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/>
    <x:xf numFmtId="200" fontId="2" fillId="7" borderId="1" xfId="0" applyNumberFormat="1" applyFont="1" applyFill="1" applyBorder="1" applyAlignment="1">
      <x:alignment wrapText="0"/>
    </x:xf>
    <x:xf numFmtId="200" fontId="2" fillId="0" borderId="1" xfId="0" applyNumberFormat="1" applyFont="1" applyFill="1" applyBorder="1"/>
    <x:xf numFmtId="200" fontId="2" fillId="9" borderId="0" xfId="0" applyNumberFormat="1" applyFont="1" applyFill="1" applyBorder="1"/>
    <x:xf numFmtId="200" fontId="2" fillId="9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 wrapText="0"/>
    </x:xf>
    <x:xf numFmtId="0" fontId="2" fillId="7" borderId="0" xfId="0" applyNumberFormat="1" applyFont="1" applyFill="1" applyBorder="1" applyAlignment="1">
      <x:alignment horizontal="center" wrapText="0"/>
    </x:xf>
    <x:xf numFmtId="0" fontId="2" fillId="0" borderId="1" xfId="0" applyNumberFormat="1" applyFont="1" applyFill="1" applyBorder="1" applyAlignment="1">
      <x:alignment horizontal="center" wrapText="0"/>
    </x:xf>
    <x:xf numFmtId="0" fontId="2" fillId="7" borderId="1" xfId="0" applyNumberFormat="1" applyFont="1" applyFill="1" applyBorder="1" applyAlignment="1">
      <x:alignment horizontal="center" wrapText="0"/>
    </x:xf>
    <x:xf numFmtId="200" fontId="2" fillId="7" borderId="0" xfId="0" applyNumberFormat="1" applyFont="1" applyFill="1" applyBorder="1" applyAlignment="1">
      <x:alignment horizontal="center" wrapText="0"/>
    </x:xf>
    <x:xf numFmtId="0" fontId="2" fillId="12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/>
    </x:xf>
    <x:xf numFmtId="200" fontId="2" fillId="9" borderId="0" xfId="0" applyNumberFormat="1" applyFont="1" applyFill="1" applyBorder="1" applyAlignment="1">
      <x:alignment horizontal="center"/>
    </x:xf>
    <x:xf numFmtId="200" fontId="2" fillId="7" borderId="1" xfId="0" applyNumberFormat="1" applyFont="1" applyFill="1" applyBorder="1" applyAlignment="1">
      <x:alignment horizontal="center" wrapText="0"/>
    </x:xf>
    <x:xf numFmtId="0" fontId="2" fillId="12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/>
    </x:xf>
    <x:xf numFmtId="200" fontId="2" fillId="9" borderId="1" xfId="0" applyNumberFormat="1" applyFont="1" applyFill="1" applyBorder="1" applyAlignment="1">
      <x:alignment horizontal="center"/>
    </x:xf>
    <x:xf numFmtId="0" fontId="21" fillId="12" borderId="0" xfId="0" applyNumberFormat="1" applyFont="1" applyFill="1" applyBorder="1" applyAlignment="1">
      <x:alignment horizontal="center"/>
    </x:xf>
    <x:xf numFmtId="0" fontId="21" fillId="12" borderId="1" xfId="0" applyNumberFormat="1" applyFont="1" applyFill="1" applyBorder="1" applyAlignment="1">
      <x:alignment horizontal="center"/>
    </x:xf>
    <x:xf numFmtId="0" fontId="22" fillId="12" borderId="0" xfId="0" applyNumberFormat="1" applyFont="1" applyFill="1" applyBorder="1" applyAlignment="1">
      <x:alignment horizontal="center"/>
    </x:xf>
    <x:xf numFmtId="0" fontId="22" fillId="12" borderId="1" xfId="0" applyNumberFormat="1" applyFont="1" applyFill="1" applyBorder="1" applyAlignment="1">
      <x:alignment horizontal="center"/>
    </x:xf>
    <x:xf numFmtId="0" fontId="23" fillId="12" borderId="0" xfId="0" applyNumberFormat="1" applyFont="1" applyFill="1" applyBorder="1" applyAlignment="1">
      <x:alignment horizontal="center"/>
    </x:xf>
    <x:xf numFmtId="0" fontId="23" fillId="12" borderId="1" xfId="0" applyNumberFormat="1" applyFont="1" applyFill="1" applyBorder="1" applyAlignment="1">
      <x:alignment horizontal="center"/>
    </x:xf>
    <x:xf numFmtId="0" fontId="24" fillId="12" borderId="0" xfId="0" applyNumberFormat="1" applyFont="1" applyFill="1" applyBorder="1" applyAlignment="1">
      <x:alignment horizontal="center"/>
    </x:xf>
    <x:xf numFmtId="0" fontId="24" fillId="12" borderId="1" xfId="0" applyNumberFormat="1" applyFont="1" applyFill="1" applyBorder="1" applyAlignment="1">
      <x:alignment horizontal="center"/>
    </x:xf>
    <x:xf numFmtId="0" fontId="25" fillId="12" borderId="0" xfId="0" applyNumberFormat="1" applyFont="1" applyFill="1" applyBorder="1" applyAlignment="1">
      <x:alignment horizontal="center"/>
    </x:xf>
    <x:xf numFmtId="0" fontId="25" fillId="12" borderId="1" xfId="0" applyNumberFormat="1" applyFont="1" applyFill="1" applyBorder="1" applyAlignment="1">
      <x:alignment horizontal="center"/>
    </x:xf>
    <x:xf numFmtId="0" fontId="26" fillId="12" borderId="0" xfId="0" applyNumberFormat="1" applyFont="1" applyFill="1" applyBorder="1" applyAlignment="1">
      <x:alignment horizontal="center"/>
    </x:xf>
    <x:xf numFmtId="0" fontId="26" fillId="12" borderId="1" xfId="0" applyNumberFormat="1" applyFont="1" applyFill="1" applyBorder="1" applyAlignment="1">
      <x:alignment horizontal="center"/>
    </x:xf>
    <x:xf numFmtId="0" fontId="27" fillId="12" borderId="0" xfId="0" applyNumberFormat="1" applyFont="1" applyFill="1" applyBorder="1" applyAlignment="1">
      <x:alignment horizontal="center"/>
    </x:xf>
    <x:xf numFmtId="0" fontId="27" fillId="12" borderId="1" xfId="0" applyNumberFormat="1" applyFont="1" applyFill="1" applyBorder="1" applyAlignment="1">
      <x:alignment horizontal="center"/>
    </x:xf>
    <x:xf numFmtId="0" fontId="28" fillId="12" borderId="0" xfId="0" applyNumberFormat="1" applyFont="1" applyFill="1" applyBorder="1" applyAlignment="1">
      <x:alignment horizontal="center"/>
    </x:xf>
    <x:xf numFmtId="0" fontId="28" fillId="12" borderId="1" xfId="0" applyNumberFormat="1" applyFont="1" applyFill="1" applyBorder="1" applyAlignment="1">
      <x:alignment horizontal="center"/>
    </x:xf>
    <x:xf numFmtId="0" fontId="29" fillId="12" borderId="0" xfId="0" applyNumberFormat="1" applyFont="1" applyFill="1" applyBorder="1" applyAlignment="1">
      <x:alignment horizontal="center"/>
    </x:xf>
    <x:xf numFmtId="0" fontId="29" fillId="12" borderId="1" xfId="0" applyNumberFormat="1" applyFont="1" applyFill="1" applyBorder="1" applyAlignment="1">
      <x:alignment horizontal="center"/>
    </x:xf>
    <x:xf numFmtId="0" fontId="30" fillId="12" borderId="0" xfId="0" applyNumberFormat="1" applyFont="1" applyFill="1" applyBorder="1" applyAlignment="1">
      <x:alignment horizontal="center"/>
    </x:xf>
    <x:xf numFmtId="0" fontId="30" fillId="12" borderId="1" xfId="0" applyNumberFormat="1" applyFont="1" applyFill="1" applyBorder="1" applyAlignment="1">
      <x:alignment horizontal="center"/>
    </x:xf>
    <x:xf numFmtId="0" fontId="31" fillId="12" borderId="0" xfId="0" applyNumberFormat="1" applyFont="1" applyFill="1" applyBorder="1" applyAlignment="1">
      <x:alignment horizontal="center"/>
    </x:xf>
    <x:xf numFmtId="0" fontId="31" fillId="12" borderId="1" xfId="0" applyNumberFormat="1" applyFont="1" applyFill="1" applyBorder="1" applyAlignment="1">
      <x:alignment horizontal="center"/>
    </x:xf>
    <x:xf numFmtId="0" fontId="32" fillId="12" borderId="0" xfId="0" applyNumberFormat="1" applyFont="1" applyFill="1" applyBorder="1" applyAlignment="1">
      <x:alignment horizontal="center"/>
    </x:xf>
    <x:xf numFmtId="0" fontId="32" fillId="12" borderId="1" xfId="0" applyNumberFormat="1" applyFont="1" applyFill="1" applyBorder="1" applyAlignment="1">
      <x:alignment horizontal="center"/>
    </x:xf>
    <x:xf numFmtId="0" fontId="33" fillId="12" borderId="0" xfId="0" applyNumberFormat="1" applyFont="1" applyFill="1" applyBorder="1" applyAlignment="1">
      <x:alignment horizontal="center"/>
    </x:xf>
    <x:xf numFmtId="0" fontId="33" fillId="12" borderId="1" xfId="0" applyNumberFormat="1" applyFont="1" applyFill="1" applyBorder="1" applyAlignment="1">
      <x:alignment horizontal="center"/>
    </x:xf>
    <x:xf numFmtId="0" fontId="34" fillId="12" borderId="0" xfId="0" applyNumberFormat="1" applyFont="1" applyFill="1" applyBorder="1" applyAlignment="1">
      <x:alignment horizontal="center"/>
    </x:xf>
    <x:xf numFmtId="0" fontId="34" fillId="12" borderId="1" xfId="0" applyNumberFormat="1" applyFont="1" applyFill="1" applyBorder="1" applyAlignment="1">
      <x:alignment horizontal="center"/>
    </x:xf>
    <x:xf numFmtId="0" fontId="35" fillId="12" borderId="0" xfId="0" applyNumberFormat="1" applyFont="1" applyFill="1" applyBorder="1" applyAlignment="1">
      <x:alignment horizontal="center"/>
    </x:xf>
    <x:xf numFmtId="0" fontId="35" fillId="12" borderId="1" xfId="0" applyNumberFormat="1" applyFont="1" applyFill="1" applyBorder="1" applyAlignment="1">
      <x:alignment horizontal="center"/>
    </x:xf>
    <x:xf numFmtId="200" fontId="2" fillId="4" borderId="0" xfId="0" applyNumberFormat="1" applyFont="1" applyFill="1" applyBorder="1"/>
    <x:xf numFmtId="200" fontId="5" fillId="4" borderId="0" xfId="0" applyNumberFormat="1" applyFont="1" applyFill="1" applyBorder="1"/>
    <x:xf numFmtId="200" fontId="2" fillId="4" borderId="1" xfId="0" applyNumberFormat="1" applyFont="1" applyFill="1" applyBorder="1"/>
    <x:xf numFmtId="200" fontId="5" fillId="4" borderId="1" xfId="0" applyNumberFormat="1" applyFont="1" applyFill="1" applyBorder="1"/>
    <x:xf numFmtId="200" fontId="2" fillId="13" borderId="0" xfId="0" applyNumberFormat="1" applyFont="1" applyFill="1" applyBorder="1"/>
    <x:xf numFmtId="0" fontId="2" fillId="13" borderId="0" xfId="0" applyNumberFormat="1" applyFont="1" applyFill="1" applyBorder="1"/>
    <x:xf numFmtId="0" fontId="5" fillId="13" borderId="0" xfId="0" applyNumberFormat="1" applyFont="1" applyFill="1" applyBorder="1"/>
    <x:xf numFmtId="200" fontId="5" fillId="13" borderId="0" xfId="0" applyNumberFormat="1" applyFont="1" applyFill="1" applyBorder="1"/>
    <x:xf numFmtId="200" fontId="2" fillId="13" borderId="1" xfId="0" applyNumberFormat="1" applyFont="1" applyFill="1" applyBorder="1"/>
    <x:xf numFmtId="0" fontId="2" fillId="13" borderId="1" xfId="0" applyNumberFormat="1" applyFont="1" applyFill="1" applyBorder="1"/>
    <x:xf numFmtId="0" fontId="5" fillId="13" borderId="1" xfId="0" applyNumberFormat="1" applyFont="1" applyFill="1" applyBorder="1"/>
    <x:xf numFmtId="200" fontId="5" fillId="13" borderId="1" xfId="0" applyNumberFormat="1" applyFont="1" applyFill="1" applyBorder="1"/>
    <x:xf numFmtId="200" fontId="36" fillId="13" borderId="0" xfId="0" applyNumberFormat="1" applyFont="1" applyFill="1" applyBorder="1"/>
    <x:xf numFmtId="0" fontId="36" fillId="13" borderId="0" xfId="0" applyNumberFormat="1" applyFont="1" applyFill="1" applyBorder="1"/>
    <x:xf numFmtId="200" fontId="36" fillId="13" borderId="1" xfId="0" applyNumberFormat="1" applyFont="1" applyFill="1" applyBorder="1"/>
    <x:xf numFmtId="0" fontId="36" fillId="13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/>
    <x:xf numFmtId="0" fontId="4" fillId="14" borderId="0" xfId="0" applyNumberFormat="1" applyFont="1" applyFill="1" applyBorder="1"/>
    <x:xf numFmtId="0" fontId="2" fillId="14" borderId="1" xfId="0" applyNumberFormat="1" applyFont="1" applyFill="1" applyBorder="1"/>
    <x:xf numFmtId="0" fontId="4" fillId="14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8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3" fillId="2" borderId="10" xfId="0" applyNumberFormat="1" applyFont="1" applyFill="1" applyBorder="1" applyAlignment="1">
      <x:alignment horizontal="center" vertical="center"/>
    </x:xf>
    <x:xf numFmtId="0" fontId="3" fillId="2" borderId="11" xfId="0" applyNumberFormat="1" applyFont="1" applyFill="1" applyBorder="1" applyAlignment="1">
      <x:alignment horizontal="center" vertical="center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/>
    </x:xf>
    <x:xf numFmtId="0" fontId="8" fillId="4" borderId="14" xfId="0" applyNumberFormat="1" applyFont="1" applyFill="1" applyBorder="1" applyAlignment="1">
      <x:alignment vertical="center"/>
    </x:xf>
    <x:xf numFmtId="0" fontId="2" fillId="7" borderId="15" xfId="0" applyNumberFormat="1" applyFont="1" applyFill="1" applyBorder="1"/>
    <x:xf numFmtId="0" fontId="8" fillId="4" borderId="5" xfId="0" applyNumberFormat="1" applyFont="1" applyFill="1" applyBorder="1" applyAlignment="1">
      <x:alignment vertical="center"/>
    </x:xf>
    <x:xf numFmtId="0" fontId="8" fillId="4" borderId="6" xfId="0" applyNumberFormat="1" applyFont="1" applyFill="1" applyBorder="1" applyAlignment="1">
      <x:alignment vertical="center"/>
    </x:xf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7" fillId="6" borderId="8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0" fontId="7" fillId="6" borderId="10" xfId="0" applyNumberFormat="1" applyFont="1" applyFill="1" applyBorder="1" applyAlignment="1">
      <x:alignment horizontal="center"/>
    </x:xf>
    <x:xf numFmtId="0" fontId="8" fillId="4" borderId="16" xfId="0" applyNumberFormat="1" applyFont="1" applyFill="1" applyBorder="1" applyAlignment="1">
      <x:alignment vertical="center"/>
    </x:xf>
    <x:xf numFmtId="0" fontId="2" fillId="7" borderId="17" xfId="0" applyNumberFormat="1" applyFont="1" applyFill="1" applyBorder="1"/>
    <x:xf numFmtId="0" fontId="8" fillId="4" borderId="11" xfId="0" applyNumberFormat="1" applyFont="1" applyFill="1" applyBorder="1" applyAlignment="1">
      <x:alignment vertical="center"/>
    </x:xf>
    <x:xf numFmtId="0" fontId="8" fillId="4" borderId="12" xfId="0" applyNumberFormat="1" applyFont="1" applyFill="1" applyBorder="1" applyAlignment="1">
      <x:alignment vertical="center"/>
    </x:xf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9" fillId="8" borderId="14" xfId="0" applyNumberFormat="1" applyFont="1" applyFill="1" applyBorder="1" applyAlignment="1">
      <x:alignment horizontal="center" vertical="center"/>
    </x:xf>
    <x:xf numFmtId="0" fontId="9" fillId="8" borderId="15" xfId="0" applyNumberFormat="1" applyFont="1" applyFill="1" applyBorder="1" applyAlignment="1">
      <x:alignment horizontal="center" vertical="center"/>
    </x:xf>
    <x:xf numFmtId="0" fontId="10" fillId="0" borderId="14" xfId="0" applyNumberFormat="1" applyFont="1" applyFill="1" applyBorder="1" applyAlignment="1">
      <x:alignment horizontal="center"/>
    </x:xf>
    <x:xf numFmtId="0" fontId="12" fillId="0" borderId="15" xfId="0" applyNumberFormat="1" applyFont="1" applyFill="1" applyBorder="1"/>
    <x:xf numFmtId="0" fontId="13" fillId="0" borderId="14" xfId="0" applyNumberFormat="1" applyFont="1" applyFill="1" applyBorder="1" applyAlignment="1">
      <x:alignment horizontal="center"/>
    </x:xf>
    <x:xf numFmtId="0" fontId="14" fillId="0" borderId="14" xfId="0" applyNumberFormat="1" applyFont="1" applyFill="1" applyBorder="1" applyAlignment="1">
      <x:alignment horizontal="center"/>
    </x:xf>
    <x:xf numFmtId="0" fontId="15" fillId="0" borderId="14" xfId="0" applyNumberFormat="1" applyFont="1" applyFill="1" applyBorder="1" applyAlignment="1">
      <x:alignment horizontal="center"/>
    </x:xf>
    <x:xf numFmtId="0" fontId="16" fillId="0" borderId="14" xfId="0" applyNumberFormat="1" applyFont="1" applyFill="1" applyBorder="1" applyAlignment="1">
      <x:alignment horizontal="center"/>
    </x:xf>
    <x:xf numFmtId="0" fontId="8" fillId="4" borderId="1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2" fillId="9" borderId="6" xfId="0" applyNumberFormat="1" applyFont="1" applyFill="1" applyBorder="1" applyAlignment="1">
      <x:alignment horizontal="center"/>
    </x:xf>
    <x:xf numFmtId="0" fontId="17" fillId="9" borderId="6" xfId="0" applyNumberFormat="1" applyFont="1" applyFill="1" applyBorder="1" applyAlignment="1">
      <x:alignment horizontal="center"/>
    </x:xf>
    <x:xf numFmtId="0" fontId="12" fillId="0" borderId="7" xfId="0" applyNumberFormat="1" applyFont="1" applyFill="1" applyBorder="1"/>
    <x:xf numFmtId="0" fontId="9" fillId="8" borderId="16" xfId="0" applyNumberFormat="1" applyFont="1" applyFill="1" applyBorder="1" applyAlignment="1">
      <x:alignment horizontal="center" vertical="center"/>
    </x:xf>
    <x:xf numFmtId="0" fontId="9" fillId="8" borderId="17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/>
    </x:xf>
    <x:xf numFmtId="0" fontId="12" fillId="0" borderId="17" xfId="0" applyNumberFormat="1" applyFont="1" applyFill="1" applyBorder="1"/>
    <x:xf numFmtId="0" fontId="13" fillId="0" borderId="16" xfId="0" applyNumberFormat="1" applyFont="1" applyFill="1" applyBorder="1" applyAlignment="1">
      <x:alignment horizontal="center"/>
    </x:xf>
    <x:xf numFmtId="0" fontId="14" fillId="0" borderId="16" xfId="0" applyNumberFormat="1" applyFont="1" applyFill="1" applyBorder="1" applyAlignment="1">
      <x:alignment horizontal="center"/>
    </x:xf>
    <x:xf numFmtId="0" fontId="15" fillId="0" borderId="16" xfId="0" applyNumberFormat="1" applyFont="1" applyFill="1" applyBorder="1" applyAlignment="1">
      <x:alignment horizontal="center"/>
    </x:xf>
    <x:xf numFmtId="0" fontId="16" fillId="0" borderId="16" xfId="0" applyNumberFormat="1" applyFont="1" applyFill="1" applyBorder="1" applyAlignment="1">
      <x:alignment horizontal="center"/>
    </x:xf>
    <x:xf numFmtId="0" fontId="8" fillId="4" borderId="16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2" fillId="9" borderId="12" xfId="0" applyNumberFormat="1" applyFont="1" applyFill="1" applyBorder="1" applyAlignment="1">
      <x:alignment horizontal="center"/>
    </x:xf>
    <x:xf numFmtId="0" fontId="17" fillId="9" borderId="12" xfId="0" applyNumberFormat="1" applyFont="1" applyFill="1" applyBorder="1" applyAlignment="1">
      <x:alignment horizontal="center"/>
    </x:xf>
    <x:xf numFmtId="0" fontId="12" fillId="0" borderId="13" xfId="0" applyNumberFormat="1" applyFont="1" applyFill="1" applyBorder="1"/>
    <x:xf numFmtId="0" fontId="19" fillId="6" borderId="2" xfId="0" applyNumberFormat="1" applyFont="1" applyFill="1" applyBorder="1" applyAlignment="1">
      <x:alignment horizontal="center" vertical="center" wrapText="1"/>
    </x:xf>
    <x:xf numFmtId="0" fontId="19" fillId="6" borderId="3" xfId="0" applyNumberFormat="1" applyFont="1" applyFill="1" applyBorder="1" applyAlignment="1">
      <x:alignment horizontal="center" vertical="center" wrapText="1"/>
    </x:xf>
    <x:xf numFmtId="0" fontId="19" fillId="6" borderId="4" xfId="0" applyNumberFormat="1" applyFont="1" applyFill="1" applyBorder="1" applyAlignment="1">
      <x:alignment horizontal="center" vertical="center" wrapText="1"/>
    </x:xf>
    <x:xf numFmtId="0" fontId="19" fillId="6" borderId="14" xfId="0" applyNumberFormat="1" applyFont="1" applyFill="1" applyBorder="1" applyAlignment="1">
      <x:alignment horizontal="center" vertical="center" wrapText="1"/>
    </x:xf>
    <x:xf numFmtId="0" fontId="19" fillId="6" borderId="15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wrapText="0"/>
    </x:xf>
    <x:xf numFmtId="0" fontId="2" fillId="9" borderId="15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200" fontId="36" fillId="13" borderId="6" xfId="0" applyNumberFormat="1" applyFont="1" applyFill="1" applyBorder="1"/>
    <x:xf numFmtId="0" fontId="36" fillId="13" borderId="6" xfId="0" applyNumberFormat="1" applyFont="1" applyFill="1" applyBorder="1"/>
    <x:xf numFmtId="0" fontId="5" fillId="13" borderId="6" xfId="0" applyNumberFormat="1" applyFont="1" applyFill="1" applyBorder="1"/>
    <x:xf numFmtId="200" fontId="5" fillId="13" borderId="6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19" fillId="6" borderId="8" xfId="0" applyNumberFormat="1" applyFont="1" applyFill="1" applyBorder="1" applyAlignment="1">
      <x:alignment horizontal="center" vertical="center" wrapText="1"/>
    </x:xf>
    <x:xf numFmtId="0" fontId="19" fillId="6" borderId="9" xfId="0" applyNumberFormat="1" applyFont="1" applyFill="1" applyBorder="1" applyAlignment="1">
      <x:alignment horizontal="center" vertical="center" wrapText="1"/>
    </x:xf>
    <x:xf numFmtId="0" fontId="19" fillId="6" borderId="10" xfId="0" applyNumberFormat="1" applyFont="1" applyFill="1" applyBorder="1" applyAlignment="1">
      <x:alignment horizontal="center" vertical="center" wrapText="1"/>
    </x:xf>
    <x:xf numFmtId="0" fontId="19" fillId="6" borderId="16" xfId="0" applyNumberFormat="1" applyFont="1" applyFill="1" applyBorder="1" applyAlignment="1">
      <x:alignment horizontal="center" vertical="center" wrapText="1"/>
    </x:xf>
    <x:xf numFmtId="0" fontId="19" fillId="6" borderId="17" xfId="0" applyNumberFormat="1" applyFont="1" applyFill="1" applyBorder="1" applyAlignment="1">
      <x:alignment horizontal="center" vertical="center" wrapText="1"/>
    </x:xf>
    <x:xf numFmtId="0" fontId="2" fillId="0" borderId="16" xfId="0" applyNumberFormat="1" applyFont="1" applyFill="1" applyBorder="1" applyAlignment="1">
      <x:alignment horizontal="center" wrapText="0"/>
    </x:xf>
    <x:xf numFmtId="0" fontId="2" fillId="9" borderId="17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200" fontId="36" fillId="13" borderId="12" xfId="0" applyNumberFormat="1" applyFont="1" applyFill="1" applyBorder="1"/>
    <x:xf numFmtId="0" fontId="36" fillId="13" borderId="12" xfId="0" applyNumberFormat="1" applyFont="1" applyFill="1" applyBorder="1"/>
    <x:xf numFmtId="0" fontId="5" fillId="13" borderId="12" xfId="0" applyNumberFormat="1" applyFont="1" applyFill="1" applyBorder="1"/>
    <x:xf numFmtId="200" fontId="5" fillId="13" borderId="12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2" fillId="7" borderId="14" xfId="0" applyNumberFormat="1" applyFont="1" applyFill="1" applyBorder="1" applyAlignment="1">
      <x:alignment vertical="top" wrapText="1"/>
    </x:xf>
    <x:xf numFmtId="0" fontId="2" fillId="7" borderId="15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2" fillId="7" borderId="16" xfId="0" applyNumberFormat="1" applyFont="1" applyFill="1" applyBorder="1" applyAlignment="1">
      <x:alignment vertical="top" wrapText="1"/>
    </x:xf>
    <x:xf numFmtId="0" fontId="2" fillId="7" borderId="17" xfId="0" applyNumberFormat="1" applyFont="1" applyFill="1" applyBorder="1" applyAlignment="1">
      <x:alignment vertical="top" wrapText="1"/>
    </x:xf>
    <x:xf numFmtId="0" fontId="2" fillId="7" borderId="11" xfId="0" applyNumberFormat="1" applyFont="1" applyFill="1" applyBorder="1" applyAlignment="1">
      <x:alignment vertical="top" wrapText="1"/>
    </x:xf>
    <x:xf numFmtId="0" fontId="2" fillId="7" borderId="12" xfId="0" applyNumberFormat="1" applyFont="1" applyFill="1" applyBorder="1" applyAlignment="1">
      <x:alignment vertical="top" wrapText="1"/>
    </x:xf>
    <x:xf numFmtId="0" fontId="2" fillId="7" borderId="13" xfId="0" applyNumberFormat="1" applyFont="1" applyFill="1" applyBorder="1" applyAlignment="1">
      <x:alignment vertical="top" wrapText="1"/>
    </x:xf>
    <x:xf numFmtId="0" fontId="19" fillId="6" borderId="18" xfId="0" applyNumberFormat="1" applyFont="1" applyFill="1" applyBorder="1" applyAlignment="1">
      <x:alignment horizontal="center" vertical="center" wrapText="1"/>
    </x:xf>
    <x:xf numFmtId="0" fontId="19" fillId="6" borderId="19" xfId="0" applyNumberFormat="1" applyFont="1" applyFill="1" applyBorder="1" applyAlignment="1">
      <x:alignment horizontal="center" vertical="center" wrapText="1"/>
    </x:xf>
    <x:xf numFmtId="0" fontId="19" fillId="6" borderId="20" xfId="0" applyNumberFormat="1" applyFont="1" applyFill="1" applyBorder="1" applyAlignment="1">
      <x:alignment horizontal="center" vertical="center" wrapText="1"/>
    </x:xf>
    <x:xf numFmtId="0" fontId="19" fillId="6" borderId="21" xfId="0" applyNumberFormat="1" applyFont="1" applyFill="1" applyBorder="1" applyAlignment="1">
      <x:alignment horizontal="center" vertical="center" wrapText="1"/>
    </x:xf>
    <x:xf numFmtId="0" fontId="19" fillId="6" borderId="22" xfId="0" applyNumberFormat="1" applyFont="1" applyFill="1" applyBorder="1" applyAlignment="1">
      <x:alignment horizontal="center" vertical="center" wrapText="1"/>
    </x:xf>
    <x:xf numFmtId="0" fontId="10" fillId="10" borderId="22" xfId="0" applyNumberFormat="1" applyFont="1" applyFill="1" applyBorder="1" applyAlignment="1">
      <x:alignment horizontal="center" vertical="center"/>
    </x:xf>
    <x:xf numFmtId="0" fontId="13" fillId="10" borderId="22" xfId="0" applyNumberFormat="1" applyFont="1" applyFill="1" applyBorder="1" applyAlignment="1">
      <x:alignment horizontal="center" vertical="center"/>
    </x:xf>
    <x:xf numFmtId="0" fontId="14" fillId="10" borderId="22" xfId="0" applyNumberFormat="1" applyFont="1" applyFill="1" applyBorder="1" applyAlignment="1">
      <x:alignment horizontal="center" vertical="center"/>
    </x:xf>
    <x:xf numFmtId="0" fontId="15" fillId="10" borderId="22" xfId="0" applyNumberFormat="1" applyFont="1" applyFill="1" applyBorder="1" applyAlignment="1">
      <x:alignment horizontal="center" vertical="center"/>
    </x:xf>
    <x:xf numFmtId="0" fontId="16" fillId="10" borderId="22" xfId="0" applyNumberFormat="1" applyFont="1" applyFill="1" applyBorder="1" applyAlignment="1">
      <x:alignment horizontal="center" vertical="center"/>
    </x:xf>
    <x:xf numFmtId="0" fontId="20" fillId="11" borderId="22" xfId="0" applyNumberFormat="1" applyFont="1" applyFill="1" applyBorder="1" applyAlignment="1">
      <x:alignment horizontal="center"/>
    </x:xf>
    <x:xf numFmtId="0" fontId="19" fillId="6" borderId="23" xfId="0" applyNumberFormat="1" applyFont="1" applyFill="1" applyBorder="1" applyAlignment="1">
      <x:alignment horizontal="center" vertical="center" wrapText="1"/>
    </x:xf>
    <x:xf numFmtId="0" fontId="2" fillId="0" borderId="21" xfId="0" applyNumberFormat="1" applyFont="1" applyFill="1" applyBorder="1" applyAlignment="1">
      <x:alignment horizontal="center" wrapText="0"/>
    </x:xf>
    <x:xf numFmtId="0" fontId="2" fillId="7" borderId="22" xfId="0" applyNumberFormat="1" applyFont="1" applyFill="1" applyBorder="1" applyAlignment="1">
      <x:alignment horizontal="center" wrapText="0"/>
    </x:xf>
    <x:xf numFmtId="0" fontId="2" fillId="7" borderId="22" xfId="0" applyNumberFormat="1" applyFont="1" applyFill="1" applyBorder="1" applyAlignment="1">
      <x:alignment wrapText="0"/>
    </x:xf>
    <x:xf numFmtId="200" fontId="2" fillId="7" borderId="22" xfId="0" applyNumberFormat="1" applyFont="1" applyFill="1" applyBorder="1" applyAlignment="1">
      <x:alignment horizontal="center" wrapText="0"/>
    </x:xf>
    <x:xf numFmtId="0" fontId="23" fillId="12" borderId="22" xfId="0" applyNumberFormat="1" applyFont="1" applyFill="1" applyBorder="1" applyAlignment="1">
      <x:alignment horizontal="center"/>
    </x:xf>
    <x:xf numFmtId="0" fontId="26" fillId="12" borderId="22" xfId="0" applyNumberFormat="1" applyFont="1" applyFill="1" applyBorder="1" applyAlignment="1">
      <x:alignment horizontal="center"/>
    </x:xf>
    <x:xf numFmtId="0" fontId="29" fillId="12" borderId="22" xfId="0" applyNumberFormat="1" applyFont="1" applyFill="1" applyBorder="1" applyAlignment="1">
      <x:alignment horizontal="center"/>
    </x:xf>
    <x:xf numFmtId="0" fontId="32" fillId="12" borderId="22" xfId="0" applyNumberFormat="1" applyFont="1" applyFill="1" applyBorder="1" applyAlignment="1">
      <x:alignment horizontal="center"/>
    </x:xf>
    <x:xf numFmtId="0" fontId="35" fillId="12" borderId="22" xfId="0" applyNumberFormat="1" applyFont="1" applyFill="1" applyBorder="1" applyAlignment="1">
      <x:alignment horizontal="center"/>
    </x:xf>
    <x:xf numFmtId="0" fontId="2" fillId="7" borderId="22" xfId="0" applyNumberFormat="1" applyFont="1" applyFill="1" applyBorder="1" applyAlignment="1">
      <x:alignment horizontal="center"/>
    </x:xf>
    <x:xf numFmtId="200" fontId="2" fillId="9" borderId="22" xfId="0" applyNumberFormat="1" applyFont="1" applyFill="1" applyBorder="1" applyAlignment="1">
      <x:alignment horizontal="center"/>
    </x:xf>
    <x:xf numFmtId="0" fontId="2" fillId="7" borderId="22" xfId="0" applyNumberFormat="1" applyFont="1" applyFill="1" applyBorder="1"/>
    <x:xf numFmtId="0" fontId="2" fillId="9" borderId="23" xfId="0" applyNumberFormat="1" applyFont="1" applyFill="1" applyBorder="1"/>
    <x:xf numFmtId="0" fontId="7" fillId="6" borderId="24" xfId="0" applyNumberFormat="1" applyFont="1" applyFill="1" applyBorder="1"/>
    <x:xf numFmtId="0" fontId="7" fillId="6" borderId="25" xfId="0" applyNumberFormat="1" applyFont="1" applyFill="1" applyBorder="1"/>
    <x:xf numFmtId="200" fontId="36" fillId="13" borderId="25" xfId="0" applyNumberFormat="1" applyFont="1" applyFill="1" applyBorder="1"/>
    <x:xf numFmtId="0" fontId="36" fillId="13" borderId="25" xfId="0" applyNumberFormat="1" applyFont="1" applyFill="1" applyBorder="1"/>
    <x:xf numFmtId="0" fontId="5" fillId="13" borderId="25" xfId="0" applyNumberFormat="1" applyFont="1" applyFill="1" applyBorder="1"/>
    <x:xf numFmtId="200" fontId="5" fillId="13" borderId="25" xfId="0" applyNumberFormat="1" applyFont="1" applyFill="1" applyBorder="1"/>
    <x:xf numFmtId="0" fontId="6" fillId="5" borderId="25" xfId="0" applyNumberFormat="1" applyFont="1" applyFill="1" applyBorder="1"/>
    <x:xf numFmtId="0" fontId="6" fillId="5" borderId="26" xfId="0" applyNumberFormat="1" applyFont="1" applyFill="1" applyBorder="1"/>
    <x:xf numFmtId="0" fontId="19" fillId="6" borderId="27" xfId="0" applyNumberFormat="1" applyFont="1" applyFill="1" applyBorder="1" applyAlignment="1">
      <x:alignment horizontal="center" vertical="center" wrapText="1"/>
    </x:xf>
    <x:xf numFmtId="0" fontId="19" fillId="6" borderId="28" xfId="0" applyNumberFormat="1" applyFont="1" applyFill="1" applyBorder="1" applyAlignment="1">
      <x:alignment horizontal="center" vertical="center" wrapText="1"/>
    </x:xf>
    <x:xf numFmtId="0" fontId="19" fillId="6" borderId="29" xfId="0" applyNumberFormat="1" applyFont="1" applyFill="1" applyBorder="1" applyAlignment="1">
      <x:alignment horizontal="center" vertical="center" wrapText="1"/>
    </x:xf>
    <x:xf numFmtId="0" fontId="19" fillId="6" borderId="30" xfId="0" applyNumberFormat="1" applyFont="1" applyFill="1" applyBorder="1" applyAlignment="1">
      <x:alignment horizontal="center" vertical="center" wrapText="1"/>
    </x:xf>
    <x:xf numFmtId="0" fontId="19" fillId="6" borderId="31" xfId="0" applyNumberFormat="1" applyFont="1" applyFill="1" applyBorder="1" applyAlignment="1">
      <x:alignment horizontal="center" vertical="center" wrapText="1"/>
    </x:xf>
    <x:xf numFmtId="0" fontId="10" fillId="10" borderId="31" xfId="0" applyNumberFormat="1" applyFont="1" applyFill="1" applyBorder="1" applyAlignment="1">
      <x:alignment horizontal="center" vertical="center"/>
    </x:xf>
    <x:xf numFmtId="0" fontId="13" fillId="10" borderId="31" xfId="0" applyNumberFormat="1" applyFont="1" applyFill="1" applyBorder="1" applyAlignment="1">
      <x:alignment horizontal="center" vertical="center"/>
    </x:xf>
    <x:xf numFmtId="0" fontId="14" fillId="10" borderId="31" xfId="0" applyNumberFormat="1" applyFont="1" applyFill="1" applyBorder="1" applyAlignment="1">
      <x:alignment horizontal="center" vertical="center"/>
    </x:xf>
    <x:xf numFmtId="0" fontId="15" fillId="10" borderId="31" xfId="0" applyNumberFormat="1" applyFont="1" applyFill="1" applyBorder="1" applyAlignment="1">
      <x:alignment horizontal="center" vertical="center"/>
    </x:xf>
    <x:xf numFmtId="0" fontId="16" fillId="10" borderId="31" xfId="0" applyNumberFormat="1" applyFont="1" applyFill="1" applyBorder="1" applyAlignment="1">
      <x:alignment horizontal="center" vertical="center"/>
    </x:xf>
    <x:xf numFmtId="0" fontId="20" fillId="11" borderId="31" xfId="0" applyNumberFormat="1" applyFont="1" applyFill="1" applyBorder="1" applyAlignment="1">
      <x:alignment horizontal="center"/>
    </x:xf>
    <x:xf numFmtId="0" fontId="19" fillId="6" borderId="32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wrapText="0"/>
    </x:xf>
    <x:xf numFmtId="0" fontId="2" fillId="7" borderId="31" xfId="0" applyNumberFormat="1" applyFont="1" applyFill="1" applyBorder="1" applyAlignment="1">
      <x:alignment horizontal="center" wrapText="0"/>
    </x:xf>
    <x:xf numFmtId="0" fontId="2" fillId="7" borderId="31" xfId="0" applyNumberFormat="1" applyFont="1" applyFill="1" applyBorder="1" applyAlignment="1">
      <x:alignment wrapText="0"/>
    </x:xf>
    <x:xf numFmtId="200" fontId="2" fillId="7" borderId="31" xfId="0" applyNumberFormat="1" applyFont="1" applyFill="1" applyBorder="1" applyAlignment="1">
      <x:alignment horizontal="center" wrapText="0"/>
    </x:xf>
    <x:xf numFmtId="0" fontId="23" fillId="12" borderId="31" xfId="0" applyNumberFormat="1" applyFont="1" applyFill="1" applyBorder="1" applyAlignment="1">
      <x:alignment horizontal="center"/>
    </x:xf>
    <x:xf numFmtId="0" fontId="26" fillId="12" borderId="31" xfId="0" applyNumberFormat="1" applyFont="1" applyFill="1" applyBorder="1" applyAlignment="1">
      <x:alignment horizontal="center"/>
    </x:xf>
    <x:xf numFmtId="0" fontId="29" fillId="12" borderId="31" xfId="0" applyNumberFormat="1" applyFont="1" applyFill="1" applyBorder="1" applyAlignment="1">
      <x:alignment horizontal="center"/>
    </x:xf>
    <x:xf numFmtId="0" fontId="32" fillId="12" borderId="31" xfId="0" applyNumberFormat="1" applyFont="1" applyFill="1" applyBorder="1" applyAlignment="1">
      <x:alignment horizontal="center"/>
    </x:xf>
    <x:xf numFmtId="0" fontId="35" fillId="12" borderId="31" xfId="0" applyNumberFormat="1" applyFont="1" applyFill="1" applyBorder="1" applyAlignment="1">
      <x:alignment horizontal="center"/>
    </x:xf>
    <x:xf numFmtId="0" fontId="2" fillId="7" borderId="31" xfId="0" applyNumberFormat="1" applyFont="1" applyFill="1" applyBorder="1" applyAlignment="1">
      <x:alignment horizontal="center"/>
    </x:xf>
    <x:xf numFmtId="200" fontId="2" fillId="9" borderId="31" xfId="0" applyNumberFormat="1" applyFont="1" applyFill="1" applyBorder="1" applyAlignment="1">
      <x:alignment horizontal="center"/>
    </x:xf>
    <x:xf numFmtId="0" fontId="2" fillId="7" borderId="31" xfId="0" applyNumberFormat="1" applyFont="1" applyFill="1" applyBorder="1"/>
    <x:xf numFmtId="0" fontId="2" fillId="9" borderId="32" xfId="0" applyNumberFormat="1" applyFont="1" applyFill="1" applyBorder="1"/>
    <x:xf numFmtId="0" fontId="7" fillId="6" borderId="33" xfId="0" applyNumberFormat="1" applyFont="1" applyFill="1" applyBorder="1"/>
    <x:xf numFmtId="0" fontId="7" fillId="6" borderId="34" xfId="0" applyNumberFormat="1" applyFont="1" applyFill="1" applyBorder="1"/>
    <x:xf numFmtId="200" fontId="36" fillId="13" borderId="34" xfId="0" applyNumberFormat="1" applyFont="1" applyFill="1" applyBorder="1"/>
    <x:xf numFmtId="0" fontId="36" fillId="13" borderId="34" xfId="0" applyNumberFormat="1" applyFont="1" applyFill="1" applyBorder="1"/>
    <x:xf numFmtId="0" fontId="5" fillId="13" borderId="34" xfId="0" applyNumberFormat="1" applyFont="1" applyFill="1" applyBorder="1"/>
    <x:xf numFmtId="200" fontId="5" fillId="13" borderId="34" xfId="0" applyNumberFormat="1" applyFont="1" applyFill="1" applyBorder="1"/>
    <x:xf numFmtId="0" fontId="6" fillId="5" borderId="34" xfId="0" applyNumberFormat="1" applyFont="1" applyFill="1" applyBorder="1"/>
    <x:xf numFmtId="0" fontId="6" fillId="5" borderId="35" xfId="0" applyNumberFormat="1" applyFont="1" applyFill="1" applyBorder="1"/>
    <x:xf numFmtId="0" fontId="2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/>
    </x:xf>
    <x:xf numFmtId="0" fontId="2" fillId="15" borderId="1" xfId="0" applyNumberFormat="1" applyFont="1" applyFill="1" applyBorder="1"/>
    <x:xf numFmtId="0" fontId="4" fillId="15" borderId="1" xfId="0" applyNumberFormat="1" applyFont="1" applyFill="1" applyBorder="1"/>
    <x:xf numFmtId="0" fontId="4" fillId="15" borderId="1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/>
    </x:xf>
    <x:xf numFmtId="0" fontId="2" fillId="16" borderId="0" xfId="0" applyNumberFormat="1" applyFont="1" applyFill="1" applyBorder="1"/>
    <x:xf numFmtId="0" fontId="37" fillId="16" borderId="0" xfId="0" applyNumberFormat="1" applyFont="1" applyFill="1" applyBorder="1"/>
    <x:xf numFmtId="0" fontId="2" fillId="16" borderId="1" xfId="0" applyNumberFormat="1" applyFont="1" applyFill="1" applyBorder="1"/>
    <x:xf numFmtId="0" fontId="37" fillId="16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38" fillId="0" borderId="0" xfId="0" applyNumberFormat="1" applyFont="1" applyFill="1" applyBorder="1"/>
    <x:xf numFmtId="0" fontId="38" fillId="0" borderId="1" xfId="0" applyNumberFormat="1" applyFont="1" applyFill="1" applyBorder="1"/>
    <x:xf numFmtId="0" fontId="5" fillId="16" borderId="0" xfId="0" applyNumberFormat="1" applyFont="1" applyFill="1" applyBorder="1"/>
    <x:xf numFmtId="0" fontId="5" fillId="16" borderId="1" xfId="0" applyNumberFormat="1" applyFont="1" applyFill="1" applyBorder="1"/>
    <x:xf numFmtId="201" fontId="2" fillId="0" borderId="0" xfId="0" applyNumberFormat="1" applyFont="1" applyFill="1" applyBorder="1" applyAlignment="1">
      <x:alignment horizontal="center"/>
    </x:xf>
    <x:xf numFmtId="201" fontId="2" fillId="0" borderId="1" xfId="0" applyNumberFormat="1" applyFont="1" applyFill="1" applyBorder="1" applyAlignment="1">
      <x:alignment horizontal="center"/>
    </x:xf>
    <x:xf numFmtId="201" fontId="2" fillId="9" borderId="0" xfId="0" applyNumberFormat="1" applyFont="1" applyFill="1" applyBorder="1" applyAlignment="1">
      <x:alignment horizontal="center"/>
    </x:xf>
    <x:xf numFmtId="201" fontId="2" fillId="9" borderId="1" xfId="0" applyNumberFormat="1" applyFont="1" applyFill="1" applyBorder="1" applyAlignment="1">
      <x:alignment horizontal="center"/>
    </x:xf>
    <x:xf numFmtId="200" fontId="17" fillId="9" borderId="0" xfId="0" applyNumberFormat="1" applyFont="1" applyFill="1" applyBorder="1" applyAlignment="1">
      <x:alignment horizontal="center"/>
    </x:xf>
    <x:xf numFmtId="200" fontId="17" fillId="9" borderId="1" xfId="0" applyNumberFormat="1" applyFont="1" applyFill="1" applyBorder="1" applyAlignment="1">
      <x:alignment horizontal="center"/>
    </x:xf>
    <x:xf numFmtId="0" fontId="39" fillId="5" borderId="0" xfId="0" applyNumberFormat="1" applyFont="1" applyFill="1" applyBorder="1"/>
    <x:xf numFmtId="0" fontId="39" fillId="5" borderId="0" xfId="0" applyNumberFormat="1" applyFont="1" applyFill="1" applyBorder="1" applyAlignment="1">
      <x:alignment wrapText="1"/>
    </x:xf>
    <x:xf numFmtId="0" fontId="39" fillId="5" borderId="1" xfId="0" applyNumberFormat="1" applyFont="1" applyFill="1" applyBorder="1"/>
    <x:xf numFmtId="0" fontId="39" fillId="5" borderId="1" xfId="0" applyNumberFormat="1" applyFont="1" applyFill="1" applyBorder="1" applyAlignment="1">
      <x:alignment wrapText="1"/>
    </x:xf>
    <x:xf numFmtId="0" fontId="20" fillId="4" borderId="0" xfId="0" applyNumberFormat="1" applyFont="1" applyFill="1" applyBorder="1"/>
    <x:xf numFmtId="0" fontId="20" fillId="4" borderId="0" xfId="0" applyNumberFormat="1" applyFont="1" applyFill="1" applyBorder="1" applyAlignment="1">
      <x:alignment wrapText="1"/>
    </x:xf>
    <x:xf numFmtId="0" fontId="20" fillId="4" borderId="0" xfId="0" applyNumberFormat="1" applyFont="1" applyFill="1" applyBorder="1" applyAlignment="1">
      <x:alignment horizontal="center" wrapText="1"/>
    </x:xf>
    <x:xf numFmtId="0" fontId="20" fillId="4" borderId="1" xfId="0" applyNumberFormat="1" applyFont="1" applyFill="1" applyBorder="1"/>
    <x:xf numFmtId="0" fontId="20" fillId="4" borderId="1" xfId="0" applyNumberFormat="1" applyFont="1" applyFill="1" applyBorder="1" applyAlignment="1">
      <x:alignment wrapText="1"/>
    </x:xf>
    <x:xf numFmtId="0" fontId="20" fillId="4" borderId="1" xfId="0" applyNumberFormat="1" applyFont="1" applyFill="1" applyBorder="1" applyAlignment="1">
      <x:alignment horizontal="center" wrapText="1"/>
    </x:xf>
    <x:xf numFmtId="0" fontId="20" fillId="4" borderId="0" xfId="0" applyNumberFormat="1" applyFont="1" applyFill="1" applyBorder="1" applyAlignment="1">
      <x:alignment horizontal="center"/>
    </x:xf>
    <x:xf numFmtId="0" fontId="20" fillId="4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left"/>
    </x:xf>
    <x:xf numFmtId="0" fontId="2" fillId="7" borderId="1" xfId="0" applyNumberFormat="1" applyFont="1" applyFill="1" applyBorder="1" applyAlignment="1">
      <x:alignment horizontal="left"/>
    </x:xf>
    <x:xf numFmtId="0" fontId="2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horizontal="center"/>
    </x:xf>
    <x:xf numFmtId="0" fontId="2" fillId="17" borderId="1" xfId="0" applyNumberFormat="1" applyFont="1" applyFill="1" applyBorder="1"/>
    <x:xf numFmtId="0" fontId="7" fillId="17" borderId="1" xfId="0" applyNumberFormat="1" applyFont="1" applyFill="1" applyBorder="1"/>
    <x:xf numFmtId="0" fontId="7" fillId="17" borderId="1" xfId="0" applyNumberFormat="1" applyFont="1" applyFill="1" applyBorder="1" applyAlignment="1">
      <x:alignment horizontal="center"/>
    </x:xf>
    <x:xf numFmtId="0" fontId="40" fillId="14" borderId="0" xfId="0" applyNumberFormat="1" applyFont="1" applyFill="1" applyBorder="1"/>
    <x:xf numFmtId="0" fontId="40" fillId="14" borderId="0" xfId="0" applyNumberFormat="1" applyFont="1" applyFill="1" applyBorder="1" applyAlignment="1">
      <x:alignment wrapText="1"/>
    </x:xf>
    <x:xf numFmtId="0" fontId="40" fillId="14" borderId="0" xfId="0" applyNumberFormat="1" applyFont="1" applyFill="1" applyBorder="1" applyAlignment="1">
      <x:alignment vertical="center" wrapText="1"/>
    </x:xf>
    <x:xf numFmtId="0" fontId="40" fillId="14" borderId="1" xfId="0" applyNumberFormat="1" applyFont="1" applyFill="1" applyBorder="1"/>
    <x:xf numFmtId="0" fontId="40" fillId="14" borderId="1" xfId="0" applyNumberFormat="1" applyFont="1" applyFill="1" applyBorder="1" applyAlignment="1">
      <x:alignment wrapText="1"/>
    </x:xf>
    <x:xf numFmtId="0" fontId="40" fillId="14" borderId="1" xfId="0" applyNumberFormat="1" applyFont="1" applyFill="1" applyBorder="1" applyAlignment="1">
      <x:alignment vertical="center" wrapText="1"/>
    </x:xf>
    <x:xf numFmtId="0" fontId="40" fillId="2" borderId="0" xfId="0" applyNumberFormat="1" applyFont="1" applyFill="1" applyBorder="1"/>
    <x:xf numFmtId="0" fontId="40" fillId="2" borderId="0" xfId="0" applyNumberFormat="1" applyFont="1" applyFill="1" applyBorder="1" applyAlignment="1">
      <x:alignment wrapText="1"/>
    </x:xf>
    <x:xf numFmtId="0" fontId="40" fillId="2" borderId="0" xfId="0" applyNumberFormat="1" applyFont="1" applyFill="1" applyBorder="1" applyAlignment="1">
      <x:alignment vertical="center" wrapText="1"/>
    </x:xf>
    <x:xf numFmtId="0" fontId="40" fillId="2" borderId="1" xfId="0" applyNumberFormat="1" applyFont="1" applyFill="1" applyBorder="1"/>
    <x:xf numFmtId="0" fontId="40" fillId="2" borderId="1" xfId="0" applyNumberFormat="1" applyFont="1" applyFill="1" applyBorder="1" applyAlignment="1">
      <x:alignment wrapText="1"/>
    </x:xf>
    <x:xf numFmtId="0" fontId="40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0" fontId="11" fillId="18" borderId="0" xfId="0" applyNumberFormat="1" applyFont="1" applyFill="1" applyBorder="1" applyAlignment="1">
      <x:alignment vertical="center" wrapText="1"/>
    </x:xf>
    <x:xf numFmtId="0" fontId="2" fillId="18" borderId="1" xfId="0" applyNumberFormat="1" applyFont="1" applyFill="1" applyBorder="1"/>
    <x:xf numFmtId="0" fontId="11" fillId="18" borderId="1" xfId="0" applyNumberFormat="1" applyFont="1" applyFill="1" applyBorder="1"/>
    <x:xf numFmtId="0" fontId="11" fillId="18" borderId="1" xfId="0" applyNumberFormat="1" applyFont="1" applyFill="1" applyBorder="1" applyAlignment="1">
      <x:alignment wrapText="1"/>
    </x:xf>
    <x:xf numFmtId="0" fontId="11" fillId="18" borderId="1" xfId="0" applyNumberFormat="1" applyFont="1" applyFill="1" applyBorder="1" applyAlignment="1">
      <x:alignment vertical="center" wrapText="1"/>
    </x:xf>
    <x:xf numFmtId="0" fontId="8" fillId="4" borderId="14" xfId="0" applyNumberFormat="1" applyFont="1" applyFill="1" applyBorder="1" applyAlignment="1">
      <x:alignment horizontal="center"/>
    </x:xf>
    <x:xf numFmtId="0" fontId="8" fillId="4" borderId="15" xfId="0" applyNumberFormat="1" applyFont="1" applyFill="1" applyBorder="1" applyAlignment="1">
      <x:alignment horizontal="center"/>
    </x:xf>
    <x:xf numFmtId="0" fontId="37" fillId="16" borderId="14" xfId="0" applyNumberFormat="1" applyFont="1" applyFill="1" applyBorder="1"/>
    <x:xf numFmtId="0" fontId="38" fillId="0" borderId="15" xfId="0" applyNumberFormat="1" applyFont="1" applyFill="1" applyBorder="1"/>
    <x:xf numFmtId="0" fontId="5" fillId="16" borderId="14" xfId="0" applyNumberFormat="1" applyFont="1" applyFill="1" applyBorder="1"/>
    <x:xf numFmtId="0" fontId="5" fillId="16" borderId="5" xfId="0" applyNumberFormat="1" applyFont="1" applyFill="1" applyBorder="1"/>
    <x:xf numFmtId="0" fontId="5" fillId="16" borderId="6" xfId="0" applyNumberFormat="1" applyFont="1" applyFill="1" applyBorder="1"/>
    <x:xf numFmtId="200" fontId="2" fillId="9" borderId="6" xfId="0" applyNumberFormat="1" applyFont="1" applyFill="1" applyBorder="1" applyAlignment="1">
      <x:alignment horizontal="center"/>
    </x:xf>
    <x:xf numFmtId="200" fontId="17" fillId="9" borderId="6" xfId="0" applyNumberFormat="1" applyFont="1" applyFill="1" applyBorder="1" applyAlignment="1">
      <x:alignment horizontal="center"/>
    </x:xf>
    <x:xf numFmtId="201" fontId="2" fillId="9" borderId="6" xfId="0" applyNumberFormat="1" applyFont="1" applyFill="1" applyBorder="1" applyAlignment="1">
      <x:alignment horizontal="center"/>
    </x:xf>
    <x:xf numFmtId="0" fontId="38" fillId="0" borderId="6" xfId="0" applyNumberFormat="1" applyFont="1" applyFill="1" applyBorder="1"/>
    <x:xf numFmtId="0" fontId="38" fillId="0" borderId="7" xfId="0" applyNumberFormat="1" applyFont="1" applyFill="1" applyBorder="1"/>
    <x:xf numFmtId="0" fontId="8" fillId="4" borderId="16" xfId="0" applyNumberFormat="1" applyFont="1" applyFill="1" applyBorder="1" applyAlignment="1">
      <x:alignment horizontal="center"/>
    </x:xf>
    <x:xf numFmtId="0" fontId="8" fillId="4" borderId="17" xfId="0" applyNumberFormat="1" applyFont="1" applyFill="1" applyBorder="1" applyAlignment="1">
      <x:alignment horizontal="center"/>
    </x:xf>
    <x:xf numFmtId="0" fontId="37" fillId="16" borderId="16" xfId="0" applyNumberFormat="1" applyFont="1" applyFill="1" applyBorder="1"/>
    <x:xf numFmtId="0" fontId="38" fillId="0" borderId="17" xfId="0" applyNumberFormat="1" applyFont="1" applyFill="1" applyBorder="1"/>
    <x:xf numFmtId="0" fontId="5" fillId="16" borderId="16" xfId="0" applyNumberFormat="1" applyFont="1" applyFill="1" applyBorder="1"/>
    <x:xf numFmtId="0" fontId="5" fillId="16" borderId="11" xfId="0" applyNumberFormat="1" applyFont="1" applyFill="1" applyBorder="1"/>
    <x:xf numFmtId="0" fontId="5" fillId="16" borderId="12" xfId="0" applyNumberFormat="1" applyFont="1" applyFill="1" applyBorder="1"/>
    <x:xf numFmtId="200" fontId="2" fillId="9" borderId="12" xfId="0" applyNumberFormat="1" applyFont="1" applyFill="1" applyBorder="1" applyAlignment="1">
      <x:alignment horizontal="center"/>
    </x:xf>
    <x:xf numFmtId="200" fontId="17" fillId="9" borderId="12" xfId="0" applyNumberFormat="1" applyFont="1" applyFill="1" applyBorder="1" applyAlignment="1">
      <x:alignment horizontal="center"/>
    </x:xf>
    <x:xf numFmtId="201" fontId="2" fillId="9" borderId="12" xfId="0" applyNumberFormat="1" applyFont="1" applyFill="1" applyBorder="1" applyAlignment="1">
      <x:alignment horizontal="center"/>
    </x:xf>
    <x:xf numFmtId="0" fontId="38" fillId="0" borderId="12" xfId="0" applyNumberFormat="1" applyFont="1" applyFill="1" applyBorder="1"/>
    <x:xf numFmtId="0" fontId="38" fillId="0" borderId="13" xfId="0" applyNumberFormat="1" applyFont="1" applyFill="1" applyBorder="1"/>
    <x:xf numFmtId="0" fontId="20" fillId="4" borderId="14" xfId="0" applyNumberFormat="1" applyFont="1" applyFill="1" applyBorder="1" applyAlignment="1">
      <x:alignment horizontal="center" wrapText="1"/>
    </x:xf>
    <x:xf numFmtId="0" fontId="20" fillId="4" borderId="15" xfId="0" applyNumberFormat="1" applyFont="1" applyFill="1" applyBorder="1" applyAlignment="1">
      <x:alignment horizontal="center"/>
    </x:xf>
    <x:xf numFmtId="0" fontId="2" fillId="0" borderId="14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 applyAlignment="1">
      <x:alignment horizontal="center"/>
    </x:xf>
    <x:xf numFmtId="0" fontId="2" fillId="7" borderId="6" xfId="0" applyNumberFormat="1" applyFont="1" applyFill="1" applyBorder="1" applyAlignment="1">
      <x:alignment horizontal="left"/>
    </x:xf>
    <x:xf numFmtId="0" fontId="20" fillId="4" borderId="16" xfId="0" applyNumberFormat="1" applyFont="1" applyFill="1" applyBorder="1" applyAlignment="1">
      <x:alignment horizontal="center" wrapText="1"/>
    </x:xf>
    <x:xf numFmtId="0" fontId="20" fillId="4" borderId="17" xfId="0" applyNumberFormat="1" applyFont="1" applyFill="1" applyBorder="1" applyAlignment="1">
      <x:alignment horizontal="center"/>
    </x:xf>
    <x:xf numFmtId="0" fontId="2" fillId="0" borderId="16" xfId="0" applyNumberFormat="1" applyFont="1" applyFill="1" applyBorder="1" applyAlignment="1">
      <x:alignment horizontal="center"/>
    </x:xf>
    <x:xf numFmtId="0" fontId="2" fillId="0" borderId="11" xfId="0" applyNumberFormat="1" applyFont="1" applyFill="1" applyBorder="1" applyAlignment="1">
      <x:alignment horizontal="center"/>
    </x:xf>
    <x:xf numFmtId="0" fontId="2" fillId="7" borderId="12" xfId="0" applyNumberFormat="1" applyFont="1" applyFill="1" applyBorder="1" applyAlignment="1">
      <x:alignment horizontal="left"/>
    </x:xf>
    <x:xf numFmtId="0" fontId="7" fillId="17" borderId="14" xfId="0" applyNumberFormat="1" applyFont="1" applyFill="1" applyBorder="1" applyAlignment="1">
      <x:alignment horizontal="center"/>
    </x:xf>
    <x:xf numFmtId="0" fontId="40" fillId="14" borderId="15" xfId="0" applyNumberFormat="1" applyFont="1" applyFill="1" applyBorder="1" applyAlignment="1">
      <x:alignment vertical="center" wrapText="1"/>
    </x:xf>
    <x:xf numFmtId="0" fontId="40" fillId="2" borderId="15" xfId="0" applyNumberFormat="1" applyFont="1" applyFill="1" applyBorder="1" applyAlignment="1">
      <x:alignment vertical="center" wrapText="1"/>
    </x:xf>
    <x:xf numFmtId="0" fontId="7" fillId="17" borderId="5" xfId="0" applyNumberFormat="1" applyFont="1" applyFill="1" applyBorder="1" applyAlignment="1">
      <x:alignment horizontal="center"/>
    </x:xf>
    <x:xf numFmtId="0" fontId="40" fillId="14" borderId="6" xfId="0" applyNumberFormat="1" applyFont="1" applyFill="1" applyBorder="1" applyAlignment="1">
      <x:alignment vertical="center" wrapText="1"/>
    </x:xf>
    <x:xf numFmtId="0" fontId="40" fillId="14" borderId="7" xfId="0" applyNumberFormat="1" applyFont="1" applyFill="1" applyBorder="1" applyAlignment="1">
      <x:alignment vertical="center" wrapText="1"/>
    </x:xf>
    <x:xf numFmtId="0" fontId="7" fillId="17" borderId="16" xfId="0" applyNumberFormat="1" applyFont="1" applyFill="1" applyBorder="1" applyAlignment="1">
      <x:alignment horizontal="center"/>
    </x:xf>
    <x:xf numFmtId="0" fontId="40" fillId="14" borderId="17" xfId="0" applyNumberFormat="1" applyFont="1" applyFill="1" applyBorder="1" applyAlignment="1">
      <x:alignment vertical="center" wrapText="1"/>
    </x:xf>
    <x:xf numFmtId="0" fontId="40" fillId="2" borderId="17" xfId="0" applyNumberFormat="1" applyFont="1" applyFill="1" applyBorder="1" applyAlignment="1">
      <x:alignment vertical="center" wrapText="1"/>
    </x:xf>
    <x:xf numFmtId="0" fontId="7" fillId="17" borderId="11" xfId="0" applyNumberFormat="1" applyFont="1" applyFill="1" applyBorder="1" applyAlignment="1">
      <x:alignment horizontal="center"/>
    </x:xf>
    <x:xf numFmtId="0" fontId="40" fillId="14" borderId="12" xfId="0" applyNumberFormat="1" applyFont="1" applyFill="1" applyBorder="1" applyAlignment="1">
      <x:alignment vertical="center" wrapText="1"/>
    </x:xf>
    <x:xf numFmtId="0" fontId="40" fillId="1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/>
    <x:xf numFmtId="0" fontId="4" fillId="0" borderId="15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2" fillId="0" borderId="6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5" fillId="4" borderId="16" xfId="0" applyNumberFormat="1" applyFont="1" applyFill="1" applyBorder="1"/>
    <x:xf numFmtId="0" fontId="4" fillId="0" borderId="17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2" fillId="0" borderId="12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11" fillId="18" borderId="14" xfId="0" applyNumberFormat="1" applyFont="1" applyFill="1" applyBorder="1" applyAlignment="1">
      <x:alignment vertical="center" wrapText="1"/>
    </x:xf>
    <x:xf numFmtId="0" fontId="11" fillId="18" borderId="15" xfId="0" applyNumberFormat="1" applyFont="1" applyFill="1" applyBorder="1" applyAlignment="1">
      <x:alignment vertical="center" wrapText="1"/>
    </x:xf>
    <x:xf numFmtId="0" fontId="11" fillId="18" borderId="5" xfId="0" applyNumberFormat="1" applyFont="1" applyFill="1" applyBorder="1" applyAlignment="1">
      <x:alignment vertical="center" wrapText="1"/>
    </x:xf>
    <x:xf numFmtId="0" fontId="11" fillId="18" borderId="6" xfId="0" applyNumberFormat="1" applyFont="1" applyFill="1" applyBorder="1" applyAlignment="1">
      <x:alignment vertical="center" wrapText="1"/>
    </x:xf>
    <x:xf numFmtId="0" fontId="11" fillId="18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B42318"/>
      </x:font>
      <x:fill>
        <x:patternFill patternType="solid">
          <x:bgColor rgb="FFFFDDDD"/>
        </x:patternFill>
      </x:fill>
    </x:dxf>
    <x:dxf>
      <x:font>
        <x:b/>
      </x:font>
      <x:fill>
        <x:patternFill patternType="solid">
          <x:bgColor rgb="FFDCE9FB"/>
        </x:patternFill>
      </x:fill>
    </x:dxf>
    <x:dxf>
      <x:font>
        <x:color rgb="FFB42318"/>
      </x:font>
      <x:fill>
        <x:patternFill patternType="solid">
          <x:bgColor rgb="FFFFDDDD"/>
        </x:patternFill>
      </x:fill>
    </x:dxf>
    <x:dxf>
      <x:font>
        <x:b/>
      </x:font>
      <x:fill>
        <x:patternFill patternType="solid">
          <x:bgColor rgb="FFDCE9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7d7d80213404a" /><Relationship Type="http://schemas.openxmlformats.org/officeDocument/2006/relationships/theme" Target="/xl/theme/theme1.xml" Id="Re5377bde1c05485a" /><Relationship Type="http://schemas.openxmlformats.org/officeDocument/2006/relationships/sharedStrings" Target="/xl/sharedStrings.xml" Id="R079edba6bd1f41d9" /><Relationship Type="http://schemas.openxmlformats.org/officeDocument/2006/relationships/worksheet" Target="/xl/worksheets/sheet1.xml" Id="R3cb39e7eb8234e3c" /><Relationship Type="http://schemas.openxmlformats.org/officeDocument/2006/relationships/worksheet" Target="/xl/worksheets/sheet2.xml" Id="R3c23198d7f664c43" /><Relationship Type="http://schemas.openxmlformats.org/officeDocument/2006/relationships/worksheet" Target="/xl/worksheets/sheet3.xml" Id="R07c72abf6f9b43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8" topLeftCell="A19" activePane="bottomLeft" state="frozen"/>
    </x:sheetView>
  </x:sheetViews>
  <x:sheetFormatPr defaultRowHeight="15"/>
  <x:cols>
    <x:col min="1" max="1" width="5.5" hidden="0" customWidth="1"/>
    <x:col min="2" max="2" width="10" hidden="0" customWidth="1"/>
    <x:col min="3" max="3" width="15" hidden="0" customWidth="1"/>
    <x:col min="4" max="4" width="19" hidden="0" customWidth="1"/>
    <x:col min="5" max="5" width="42" hidden="0" customWidth="1"/>
    <x:col min="6" max="6" width="7" hidden="0" customWidth="1"/>
    <x:col min="7" max="7" width="13" hidden="0" customWidth="1"/>
    <x:col min="8" max="8" width="13" hidden="0" customWidth="1"/>
    <x:col min="9" max="9" width="9.5" hidden="0" customWidth="1"/>
    <x:col min="10" max="10" width="11.5" hidden="0" customWidth="1"/>
    <x:col min="11" max="11" width="8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32" hidden="0" customWidth="1"/>
    <x:col min="24" max="24" width="21" hidden="0" customWidth="1"/>
  </x:cols>
  <x:sheetData>
    <x:row r="1" ht="24" customHeight="1">
      <x:c r="A1" s="210" t="str">
        <x:v>CURSOGRAMA ANALÍTICO DEL PROCESO</x:v>
      </x:c>
      <x:c r="B1" s="211"/>
      <x:c r="C1" s="211"/>
      <x:c r="D1" s="211"/>
      <x:c r="E1" s="211"/>
      <x:c r="F1" s="211"/>
      <x:c r="G1" s="211"/>
      <x:c r="H1" s="211"/>
      <x:c r="I1" s="211"/>
      <x:c r="J1" s="211"/>
      <x:c r="K1" s="211"/>
      <x:c r="L1" s="211"/>
      <x:c r="M1" s="211"/>
      <x:c r="N1" s="211"/>
      <x:c r="O1" s="211"/>
      <x:c r="P1" s="211"/>
      <x:c r="Q1" s="211"/>
      <x:c r="R1" s="211"/>
      <x:c r="S1" s="211"/>
      <x:c r="T1" s="211"/>
      <x:c r="U1" s="211"/>
      <x:c r="V1" s="211"/>
      <x:c r="W1" s="211"/>
      <x:c r="X1" s="212"/>
    </x:row>
    <x:row r="2" ht="24" customHeight="1">
      <x:c r="A2" s="213"/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  <x:c r="O2" s="214"/>
      <x:c r="P2" s="214"/>
      <x:c r="Q2" s="214"/>
      <x:c r="R2" s="214"/>
      <x:c r="S2" s="214"/>
      <x:c r="T2" s="214"/>
      <x:c r="U2" s="214"/>
      <x:c r="V2" s="214"/>
      <x:c r="W2" s="214"/>
      <x:c r="X2" s="215"/>
    </x:row>
    <x:row r="3" ht="21" customHeight="1">
      <x:c r="A3" s="16" t="str">
        <x:v>ESTUDIO DE MÉTODOS   |   Los símbolos y el resumen conservan el formato tradicional   |   Identifique el objeto seguido y las ramas antes de registrar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</x:row>
    <x:row r="4" ht="21" customHeight="1">
      <x:c r="A4" s="21" t="str">
        <x:v>Hoja N.º</x:v>
      </x:c>
      <x:c r="B4" s="21"/>
      <x:c r="C4" s="21"/>
      <x:c r="D4" s="4" t="str">
        <x:v>1 de 1</x:v>
      </x:c>
      <x:c r="E4" s="4"/>
      <x:c r="F4" s="4"/>
      <x:c r="G4" s="21" t="str">
        <x:v>Diagrama N.º</x:v>
      </x:c>
      <x:c r="H4" s="21"/>
      <x:c r="I4" s="21"/>
      <x:c r="J4" s="4" t="str"/>
      <x:c r="K4" s="4"/>
      <x:c r="L4" s="21" t="str">
        <x:v>TIPO: Operario / Material / Equipo</x:v>
      </x:c>
      <x:c r="M4" s="21"/>
      <x:c r="N4" s="21"/>
      <x:c r="O4" s="21"/>
      <x:c r="P4" s="21"/>
      <x:c r="Q4" s="21"/>
      <x:c r="R4" s="26" t="str">
        <x:v>MÉTODO: ACTUAL</x:v>
      </x:c>
      <x:c r="S4" s="26"/>
      <x:c r="T4" s="26"/>
      <x:c r="U4" s="26"/>
      <x:c r="V4" s="26"/>
      <x:c r="W4" s="26"/>
      <x:c r="X4" s="26"/>
    </x:row>
    <x:row r="5" ht="21" customHeight="1">
      <x:c r="A5" s="222" t="str">
        <x:v>DATOS DEL ESTUDIO</x:v>
      </x:c>
      <x:c r="B5" s="223"/>
      <x:c r="C5" s="223"/>
      <x:c r="D5" s="223"/>
      <x:c r="E5" s="223"/>
      <x:c r="F5" s="223"/>
      <x:c r="G5" s="223"/>
      <x:c r="H5" s="223"/>
      <x:c r="I5" s="223"/>
      <x:c r="J5" s="223"/>
      <x:c r="K5" s="224"/>
      <x:c r="L5" s="222" t="str">
        <x:v>RESUMEN DE ACTIVIDADES · ACTUAL / PROPUESTO</x:v>
      </x:c>
      <x:c r="M5" s="223"/>
      <x:c r="N5" s="223"/>
      <x:c r="O5" s="223"/>
      <x:c r="P5" s="223"/>
      <x:c r="Q5" s="223"/>
      <x:c r="R5" s="223"/>
      <x:c r="S5" s="223"/>
      <x:c r="T5" s="223"/>
      <x:c r="U5" s="223"/>
      <x:c r="V5" s="223"/>
      <x:c r="W5" s="223"/>
      <x:c r="X5" s="224"/>
    </x:row>
    <x:row r="6" ht="23" customHeight="1">
      <x:c r="A6" s="225" t="str">
        <x:v>Proceso:</x:v>
      </x:c>
      <x:c r="B6" s="37"/>
      <x:c r="C6" s="37"/>
      <x:c r="D6" s="40" t="str"/>
      <x:c r="E6" s="40"/>
      <x:c r="F6" s="40"/>
      <x:c r="G6" s="40"/>
      <x:c r="H6" s="40"/>
      <x:c r="I6" s="40"/>
      <x:c r="J6" s="40"/>
      <x:c r="K6" s="226"/>
      <x:c r="L6" s="240" t="str">
        <x:v>SÍM.</x:v>
      </x:c>
      <x:c r="M6" s="45" t="str">
        <x:v>ACTIVIDAD</x:v>
      </x:c>
      <x:c r="N6" s="45" t="str"/>
      <x:c r="O6" s="45" t="str"/>
      <x:c r="P6" s="45" t="str"/>
      <x:c r="Q6" s="45" t="str"/>
      <x:c r="R6" s="45" t="str"/>
      <x:c r="S6" s="45" t="str">
        <x:v>ACT.</x:v>
      </x:c>
      <x:c r="T6" s="45" t="str">
        <x:v>PROP.</x:v>
      </x:c>
      <x:c r="U6" s="45" t="str">
        <x:v>ECON.</x:v>
      </x:c>
      <x:c r="V6" s="45" t="str">
        <x:v>MIN ACT.</x:v>
      </x:c>
      <x:c r="W6" s="45" t="str">
        <x:v>MIN PROP.</x:v>
      </x:c>
      <x:c r="X6" s="241" t="str">
        <x:v>NOTA</x:v>
      </x:c>
    </x:row>
    <x:row r="7" ht="21" customHeight="1">
      <x:c r="A7" s="225" t="str">
        <x:v>Producto / objeto:</x:v>
      </x:c>
      <x:c r="B7" s="37"/>
      <x:c r="C7" s="37"/>
      <x:c r="D7" s="40" t="str"/>
      <x:c r="E7" s="40"/>
      <x:c r="F7" s="40"/>
      <x:c r="G7" s="40"/>
      <x:c r="H7" s="40"/>
      <x:c r="I7" s="40"/>
      <x:c r="J7" s="40"/>
      <x:c r="K7" s="226"/>
      <x:c r="L7" s="242" t="str">
        <x:v>●</x:v>
      </x:c>
      <x:c r="M7" s="55" t="str">
        <x:v>Operación</x:v>
      </x:c>
      <x:c r="N7" s="55"/>
      <x:c r="O7" s="55"/>
      <x:c r="P7" s="55"/>
      <x:c r="Q7" s="55"/>
      <x:c r="R7" s="55"/>
      <x:c r="S7" s="78" t="n">
        <x:f>COUNTIF(ACTUAL!$K$19:$K$118,"O")</x:f>
        <x:v>0</x:v>
      </x:c>
      <x:c r="T7" s="78" t="n">
        <x:f>COUNTIF(PROPUESTO!$K$19:$K$118,"O")</x:f>
        <x:v>0</x:v>
      </x:c>
      <x:c r="U7" s="80" t="n">
        <x:f>S7-T7</x:f>
        <x:v>0</x:v>
      </x:c>
      <x:c r="V7" s="78" t="n">
        <x:f>SUMIF(ACTUAL!$K$19:$K$118,"O",ACTUAL!$J$19:$J$118)</x:f>
        <x:v>0</x:v>
      </x:c>
      <x:c r="W7" s="78" t="n">
        <x:f>SUMIF(PROPUESTO!$K$19:$K$118,"O",PROPUESTO!$J$19:$J$118)</x:f>
        <x:v>0</x:v>
      </x:c>
      <x:c r="X7" s="243" t="str">
        <x:v>Revisar necesidad</x:v>
      </x:c>
    </x:row>
    <x:row r="8" ht="21" customHeight="1">
      <x:c r="A8" s="225" t="str">
        <x:v>Fecha del estudio:</x:v>
      </x:c>
      <x:c r="B8" s="37"/>
      <x:c r="C8" s="37"/>
      <x:c r="D8" s="40" t="str"/>
      <x:c r="E8" s="40"/>
      <x:c r="F8" s="40"/>
      <x:c r="G8" s="40"/>
      <x:c r="H8" s="40"/>
      <x:c r="I8" s="40"/>
      <x:c r="J8" s="40"/>
      <x:c r="K8" s="226"/>
      <x:c r="L8" s="244" t="str">
        <x:v>➜</x:v>
      </x:c>
      <x:c r="M8" s="55" t="str">
        <x:v>Transporte</x:v>
      </x:c>
      <x:c r="N8" s="55"/>
      <x:c r="O8" s="55"/>
      <x:c r="P8" s="55"/>
      <x:c r="Q8" s="55"/>
      <x:c r="R8" s="55"/>
      <x:c r="S8" s="78" t="n">
        <x:f>COUNTIF(ACTUAL!$K$19:$K$118,"T")</x:f>
        <x:v>0</x:v>
      </x:c>
      <x:c r="T8" s="78" t="n">
        <x:f>COUNTIF(PROPUESTO!$K$19:$K$118,"T")</x:f>
        <x:v>0</x:v>
      </x:c>
      <x:c r="U8" s="80" t="n">
        <x:f>S8-T8</x:f>
        <x:v>0</x:v>
      </x:c>
      <x:c r="V8" s="78" t="n">
        <x:f>SUMIF(ACTUAL!$K$19:$K$118,"T",ACTUAL!$J$19:$J$118)</x:f>
        <x:v>0</x:v>
      </x:c>
      <x:c r="W8" s="78" t="n">
        <x:f>SUMIF(PROPUESTO!$K$19:$K$118,"T",PROPUESTO!$J$19:$J$118)</x:f>
        <x:v>0</x:v>
      </x:c>
      <x:c r="X8" s="243" t="str">
        <x:v>Menos es favorable</x:v>
      </x:c>
    </x:row>
    <x:row r="9" ht="21" customHeight="1">
      <x:c r="A9" s="225" t="str">
        <x:v>El estudio inicia en:</x:v>
      </x:c>
      <x:c r="B9" s="37"/>
      <x:c r="C9" s="37"/>
      <x:c r="D9" s="40" t="str"/>
      <x:c r="E9" s="40"/>
      <x:c r="F9" s="40"/>
      <x:c r="G9" s="40"/>
      <x:c r="H9" s="40"/>
      <x:c r="I9" s="40"/>
      <x:c r="J9" s="40"/>
      <x:c r="K9" s="226"/>
      <x:c r="L9" s="245" t="str">
        <x:v>■</x:v>
      </x:c>
      <x:c r="M9" s="55" t="str">
        <x:v>Inspección</x:v>
      </x:c>
      <x:c r="N9" s="55"/>
      <x:c r="O9" s="55"/>
      <x:c r="P9" s="55"/>
      <x:c r="Q9" s="55"/>
      <x:c r="R9" s="55"/>
      <x:c r="S9" s="78" t="n">
        <x:f>COUNTIF(ACTUAL!$K$19:$K$118,"I")</x:f>
        <x:v>0</x:v>
      </x:c>
      <x:c r="T9" s="78" t="n">
        <x:f>COUNTIF(PROPUESTO!$K$19:$K$118,"I")</x:f>
        <x:v>0</x:v>
      </x:c>
      <x:c r="U9" s="80" t="n">
        <x:f>S9-T9</x:f>
        <x:v>0</x:v>
      </x:c>
      <x:c r="V9" s="78" t="n">
        <x:f>SUMIF(ACTUAL!$K$19:$K$118,"I",ACTUAL!$J$19:$J$118)</x:f>
        <x:v>0</x:v>
      </x:c>
      <x:c r="W9" s="78" t="n">
        <x:f>SUMIF(PROPUESTO!$K$19:$K$118,"I",PROPUESTO!$J$19:$J$118)</x:f>
        <x:v>0</x:v>
      </x:c>
      <x:c r="X9" s="243" t="str">
        <x:v>Revisar necesidad</x:v>
      </x:c>
    </x:row>
    <x:row r="10" ht="21" customHeight="1">
      <x:c r="A10" s="225" t="str">
        <x:v>El estudio termina en:</x:v>
      </x:c>
      <x:c r="B10" s="37"/>
      <x:c r="C10" s="37"/>
      <x:c r="D10" s="40" t="str"/>
      <x:c r="E10" s="40"/>
      <x:c r="F10" s="40"/>
      <x:c r="G10" s="40"/>
      <x:c r="H10" s="40"/>
      <x:c r="I10" s="40"/>
      <x:c r="J10" s="40"/>
      <x:c r="K10" s="226"/>
      <x:c r="L10" s="246" t="str">
        <x:v>D</x:v>
      </x:c>
      <x:c r="M10" s="55" t="str">
        <x:v>Espera</x:v>
      </x:c>
      <x:c r="N10" s="55"/>
      <x:c r="O10" s="55"/>
      <x:c r="P10" s="55"/>
      <x:c r="Q10" s="55"/>
      <x:c r="R10" s="55"/>
      <x:c r="S10" s="78" t="n">
        <x:f>COUNTIF(ACTUAL!$K$19:$K$118,"E")</x:f>
        <x:v>0</x:v>
      </x:c>
      <x:c r="T10" s="78" t="n">
        <x:f>COUNTIF(PROPUESTO!$K$19:$K$118,"E")</x:f>
        <x:v>0</x:v>
      </x:c>
      <x:c r="U10" s="80" t="n">
        <x:f>S10-T10</x:f>
        <x:v>0</x:v>
      </x:c>
      <x:c r="V10" s="78" t="n">
        <x:f>SUMIF(ACTUAL!$K$19:$K$118,"E",ACTUAL!$J$19:$J$118)</x:f>
        <x:v>0</x:v>
      </x:c>
      <x:c r="W10" s="78" t="n">
        <x:f>SUMIF(PROPUESTO!$K$19:$K$118,"E",PROPUESTO!$J$19:$J$118)</x:f>
        <x:v>0</x:v>
      </x:c>
      <x:c r="X10" s="243" t="str">
        <x:v>Menos es favorable</x:v>
      </x:c>
    </x:row>
    <x:row r="11" ht="21" customHeight="1">
      <x:c r="A11" s="225" t="str">
        <x:v>Lugar / área:</x:v>
      </x:c>
      <x:c r="B11" s="37"/>
      <x:c r="C11" s="37"/>
      <x:c r="D11" s="40" t="str"/>
      <x:c r="E11" s="40"/>
      <x:c r="F11" s="40"/>
      <x:c r="G11" s="40"/>
      <x:c r="H11" s="40"/>
      <x:c r="I11" s="40"/>
      <x:c r="J11" s="40"/>
      <x:c r="K11" s="226"/>
      <x:c r="L11" s="247" t="str">
        <x:v>▼</x:v>
      </x:c>
      <x:c r="M11" s="55" t="str">
        <x:v>Almacenamiento</x:v>
      </x:c>
      <x:c r="N11" s="55"/>
      <x:c r="O11" s="55"/>
      <x:c r="P11" s="55"/>
      <x:c r="Q11" s="55"/>
      <x:c r="R11" s="55"/>
      <x:c r="S11" s="78" t="n">
        <x:f>COUNTIF(ACTUAL!$K$19:$K$118,"A")</x:f>
        <x:v>0</x:v>
      </x:c>
      <x:c r="T11" s="78" t="n">
        <x:f>COUNTIF(PROPUESTO!$K$19:$K$118,"A")</x:f>
        <x:v>0</x:v>
      </x:c>
      <x:c r="U11" s="80" t="n">
        <x:f>S11-T11</x:f>
        <x:v>0</x:v>
      </x:c>
      <x:c r="V11" s="78" t="n">
        <x:f>SUMIF(ACTUAL!$K$19:$K$118,"A",ACTUAL!$J$19:$J$118)</x:f>
        <x:v>0</x:v>
      </x:c>
      <x:c r="W11" s="78" t="n">
        <x:f>SUMIF(PROPUESTO!$K$19:$K$118,"A",PROPUESTO!$J$19:$J$118)</x:f>
        <x:v>0</x:v>
      </x:c>
      <x:c r="X11" s="243" t="str">
        <x:v>Revisar necesidad</x:v>
      </x:c>
    </x:row>
    <x:row r="12" ht="23" customHeight="1">
      <x:c r="A12" s="225" t="str">
        <x:v>Operario / equipo:</x:v>
      </x:c>
      <x:c r="B12" s="37"/>
      <x:c r="C12" s="37"/>
      <x:c r="D12" s="40" t="str"/>
      <x:c r="E12" s="40"/>
      <x:c r="F12" s="40"/>
      <x:c r="G12" s="40"/>
      <x:c r="H12" s="40"/>
      <x:c r="I12" s="40"/>
      <x:c r="J12" s="40"/>
      <x:c r="K12" s="226"/>
      <x:c r="L12" s="248" t="str">
        <x:v>Total actividades</x:v>
      </x:c>
      <x:c r="M12" s="36"/>
      <x:c r="N12" s="36"/>
      <x:c r="O12" s="36"/>
      <x:c r="P12" s="36"/>
      <x:c r="Q12" s="36"/>
      <x:c r="R12" s="36"/>
      <x:c r="S12" s="78" t="n">
        <x:f>SUM(S7:S11)</x:f>
        <x:v>0</x:v>
      </x:c>
      <x:c r="T12" s="78" t="n">
        <x:f>SUM(T7:T11)</x:f>
        <x:v>0</x:v>
      </x:c>
      <x:c r="U12" s="80" t="n">
        <x:f>SUM(U7:U11)</x:f>
        <x:v>0</x:v>
      </x:c>
      <x:c r="V12" s="78" t="n">
        <x:f>SUM(V7:V11)</x:f>
        <x:v>0</x:v>
      </x:c>
      <x:c r="W12" s="78" t="n">
        <x:f>SUM(W7:W11)</x:f>
        <x:v>0</x:v>
      </x:c>
      <x:c r="X12" s="243" t="str">
        <x:v>Conteo de eventos</x:v>
      </x:c>
    </x:row>
    <x:row r="13" ht="23" customHeight="1">
      <x:c r="A13" s="225" t="str">
        <x:v>Elaborado por:</x:v>
      </x:c>
      <x:c r="B13" s="37"/>
      <x:c r="C13" s="37"/>
      <x:c r="D13" s="40" t="str"/>
      <x:c r="E13" s="40"/>
      <x:c r="F13" s="40"/>
      <x:c r="G13" s="40"/>
      <x:c r="H13" s="40"/>
      <x:c r="I13" s="40"/>
      <x:c r="J13" s="40"/>
      <x:c r="K13" s="226"/>
      <x:c r="L13" s="248" t="str">
        <x:v>Distancia total (m)</x:v>
      </x:c>
      <x:c r="M13" s="36"/>
      <x:c r="N13" s="36"/>
      <x:c r="O13" s="36"/>
      <x:c r="P13" s="36"/>
      <x:c r="Q13" s="36"/>
      <x:c r="R13" s="36"/>
      <x:c r="S13" s="78" t="n">
        <x:f>SUM(ACTUAL!I19:I118)</x:f>
        <x:v>0</x:v>
      </x:c>
      <x:c r="T13" s="78" t="n">
        <x:f>SUM(PROPUESTO!I19:I118)</x:f>
        <x:v>0</x:v>
      </x:c>
      <x:c r="U13" s="80" t="n">
        <x:f>S13-T13</x:f>
        <x:v>0</x:v>
      </x:c>
      <x:c r="V13" s="78"/>
      <x:c r="W13" s="78"/>
      <x:c r="X13" s="243" t="str">
        <x:v>Sólo distancias registradas</x:v>
      </x:c>
    </x:row>
    <x:row r="14" ht="23" customHeight="1">
      <x:c r="A14" s="225" t="str">
        <x:v>Tamaño del lote:</x:v>
      </x:c>
      <x:c r="B14" s="37"/>
      <x:c r="C14" s="37"/>
      <x:c r="D14" s="40" t="str"/>
      <x:c r="E14" s="40"/>
      <x:c r="F14" s="40"/>
      <x:c r="G14" s="40"/>
      <x:c r="H14" s="40"/>
      <x:c r="I14" s="40"/>
      <x:c r="J14" s="40"/>
      <x:c r="K14" s="226"/>
      <x:c r="L14" s="248" t="str">
        <x:v>Tiempo acumulado (min)</x:v>
      </x:c>
      <x:c r="M14" s="36"/>
      <x:c r="N14" s="36"/>
      <x:c r="O14" s="36"/>
      <x:c r="P14" s="36"/>
      <x:c r="Q14" s="36"/>
      <x:c r="R14" s="36"/>
      <x:c r="S14" s="78" t="n">
        <x:f>SUM(ACTUAL!J19:J118)</x:f>
        <x:v>0</x:v>
      </x:c>
      <x:c r="T14" s="78" t="n">
        <x:f>SUM(PROPUESTO!J19:J118)</x:f>
        <x:v>0</x:v>
      </x:c>
      <x:c r="U14" s="80" t="n">
        <x:f>S14-T14</x:f>
        <x:v>0</x:v>
      </x:c>
      <x:c r="V14" s="78"/>
      <x:c r="W14" s="78"/>
      <x:c r="X14" s="243" t="str">
        <x:v>Suma todas las actividades</x:v>
      </x:c>
    </x:row>
    <x:row r="15" ht="23" customHeight="1">
      <x:c r="A15" s="227" t="str">
        <x:v>Tipo de cursograma:</x:v>
      </x:c>
      <x:c r="B15" s="228"/>
      <x:c r="C15" s="228"/>
      <x:c r="D15" s="229" t="str"/>
      <x:c r="E15" s="229"/>
      <x:c r="F15" s="229"/>
      <x:c r="G15" s="229"/>
      <x:c r="H15" s="229"/>
      <x:c r="I15" s="229"/>
      <x:c r="J15" s="229"/>
      <x:c r="K15" s="230"/>
      <x:c r="L15" s="249" t="str">
        <x:v>Duración teórica (min)</x:v>
      </x:c>
      <x:c r="M15" s="250"/>
      <x:c r="N15" s="250"/>
      <x:c r="O15" s="250"/>
      <x:c r="P15" s="250"/>
      <x:c r="Q15" s="250"/>
      <x:c r="R15" s="250"/>
      <x:c r="S15" s="251" t="str">
        <x:f>IF(COUNTIF(ACTUAL!$X$19:$X$118,"OK")=0,"",IF(COUNTIF(ACTUAL!$X$19:$X$118,"FALTA*")+COUNTIF(ACTUAL!$X$19:$X$118,"REVISAR*")+COUNTIF(ACTUAL!$X$19:$X$118,"ID REPETIDO")&gt;0,"REVISAR",MAX(ACTUAL!$V$19:$V$118)))</x:f>
      </x:c>
      <x:c r="T15" s="251" t="str">
        <x:f>IF(COUNTIF(PROPUESTO!$X$19:$X$118,"OK")=0,"",IF(COUNTIF(PROPUESTO!$X$19:$X$118,"FALTA*")+COUNTIF(PROPUESTO!$X$19:$X$118,"REVISAR*")+COUNTIF(PROPUESTO!$X$19:$X$118,"ID REPETIDO")&gt;0,"REVISAR",MAX(PROPUESTO!$V$19:$V$118)))</x:f>
      </x:c>
      <x:c r="U15" s="252" t="str">
        <x:f>IF(AND(ISNUMBER(S15),ISNUMBER(T15)),S15-T15,"")</x:f>
      </x:c>
      <x:c r="V15" s="251"/>
      <x:c r="W15" s="251"/>
      <x:c r="X15" s="253" t="str">
        <x:v>Sólo con precedencias válidas</x:v>
      </x:c>
    </x:row>
    <x:row r="16" ht="21" customHeight="1">
      <x:c r="A16" s="82" t="str">
        <x:v>IMPORTANTE: Las ramas paralelas empiezan sin antecesora; cada actividad posterior indica su(s) predecesora(s). Ordene las filas desde el inicio hasta el fin del proceso.</x:v>
      </x:c>
      <x:c r="B16" s="82"/>
      <x:c r="C16" s="82"/>
      <x:c r="D16" s="82"/>
      <x:c r="E16" s="82"/>
      <x:c r="F16" s="82"/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</x:row>
    <x:row r="17" ht="26" customHeight="1">
      <x:c r="A17" s="314" t="str">
        <x:v>N.º</x:v>
      </x:c>
      <x:c r="B17" s="315" t="str">
        <x:v>ID</x:v>
      </x:c>
      <x:c r="C17" s="315" t="str">
        <x:v>RAMA</x:v>
      </x:c>
      <x:c r="D17" s="315" t="str">
        <x:v>OBJETO / COMPONENTE</x:v>
      </x:c>
      <x:c r="E17" s="315" t="str">
        <x:v>DESCRIPCIÓN DEL PROCESO</x:v>
      </x:c>
      <x:c r="F17" s="315" t="str">
        <x:v>CANT.</x:v>
      </x:c>
      <x:c r="G17" s="315" t="str">
        <x:v>ORIGEN</x:v>
      </x:c>
      <x:c r="H17" s="315" t="str">
        <x:v>DESTINO</x:v>
      </x:c>
      <x:c r="I17" s="315" t="str">
        <x:v>DIST.
METROS</x:v>
      </x:c>
      <x:c r="J17" s="315" t="str">
        <x:v>TIEMPO
MINUTOS</x:v>
      </x:c>
      <x:c r="K17" s="315" t="str">
        <x:v>TIPO</x:v>
      </x:c>
      <x:c r="L17" s="315" t="str">
        <x:v>SÍMBOLOS DEL PROCESO</x:v>
      </x:c>
      <x:c r="M17" s="315"/>
      <x:c r="N17" s="315"/>
      <x:c r="O17" s="315"/>
      <x:c r="P17" s="315"/>
      <x:c r="Q17" s="315" t="str">
        <x:v>PREDECESORAS (ID)</x:v>
      </x:c>
      <x:c r="R17" s="315"/>
      <x:c r="S17" s="315"/>
      <x:c r="T17" s="315"/>
      <x:c r="U17" s="315" t="str">
        <x:v>TIEMPO TEÓRICO</x:v>
      </x:c>
      <x:c r="V17" s="315"/>
      <x:c r="W17" s="315" t="str">
        <x:v>OBSERVACIONES</x:v>
      </x:c>
      <x:c r="X17" s="316" t="str">
        <x:v>CONTROL</x:v>
      </x:c>
    </x:row>
    <x:row r="18" ht="26" customHeight="1">
      <x:c r="A18" s="317"/>
      <x:c r="B18" s="318"/>
      <x:c r="C18" s="318"/>
      <x:c r="D18" s="318"/>
      <x:c r="E18" s="318"/>
      <x:c r="F18" s="318"/>
      <x:c r="G18" s="318"/>
      <x:c r="H18" s="318"/>
      <x:c r="I18" s="318"/>
      <x:c r="J18" s="318"/>
      <x:c r="K18" s="318"/>
      <x:c r="L18" s="319" t="str">
        <x:v>●</x:v>
      </x:c>
      <x:c r="M18" s="320" t="str">
        <x:v>➜</x:v>
      </x:c>
      <x:c r="N18" s="321" t="str">
        <x:v>■</x:v>
      </x:c>
      <x:c r="O18" s="322" t="str">
        <x:v>D</x:v>
      </x:c>
      <x:c r="P18" s="323" t="str">
        <x:v>▼</x:v>
      </x:c>
      <x:c r="Q18" s="324" t="str">
        <x:v>ANT. 1</x:v>
      </x:c>
      <x:c r="R18" s="324" t="str">
        <x:v>ANT. 2</x:v>
      </x:c>
      <x:c r="S18" s="324" t="str">
        <x:v>ANT. 3</x:v>
      </x:c>
      <x:c r="T18" s="324" t="str">
        <x:v>ANT. 4</x:v>
      </x:c>
      <x:c r="U18" s="324" t="str">
        <x:v>INICIO</x:v>
      </x:c>
      <x:c r="V18" s="324" t="str">
        <x:v>FIN</x:v>
      </x:c>
      <x:c r="W18" s="318"/>
      <x:c r="X18" s="325"/>
    </x:row>
    <x:row r="19" ht="24" customHeight="1">
      <x:c r="A19" s="326" t="str">
        <x:f>IF($E19="","",COUNTA($E$19:E19))</x:f>
      </x:c>
      <x:c r="B19" s="327"/>
      <x:c r="C19" s="327"/>
      <x:c r="D19" s="327"/>
      <x:c r="E19" s="328"/>
      <x:c r="F19" s="328"/>
      <x:c r="G19" s="328"/>
      <x:c r="H19" s="328"/>
      <x:c r="I19" s="329"/>
      <x:c r="J19" s="329"/>
      <x:c r="K19" s="327"/>
      <x:c r="L19" s="330" t="str">
        <x:f>IF($K19="O", "●", "")</x:f>
      </x:c>
      <x:c r="M19" s="331" t="str">
        <x:f>IF($K19="T", "➜", "")</x:f>
      </x:c>
      <x:c r="N19" s="332" t="str">
        <x:f>IF($K19="I", "■", "")</x:f>
      </x:c>
      <x:c r="O19" s="333" t="str">
        <x:f>IF($K19="E", "D", "")</x:f>
      </x:c>
      <x:c r="P19" s="334" t="str">
        <x:f>IF($K19="A", "▼", "")</x:f>
      </x:c>
      <x:c r="Q19" s="335"/>
      <x:c r="R19" s="335"/>
      <x:c r="S19" s="335"/>
      <x:c r="T19" s="335"/>
      <x:c r="U19" s="336" t="str">
        <x:f>IF(OR($B19="",$E19="",$K19="",AND($K19&lt;&gt;"A",$J19="")),"",IF(COUNTA($Q19:$T19)&gt;0,"REVISAR",0))</x:f>
      </x:c>
      <x:c r="V19" s="336" t="str">
        <x:f>IF(ISNUMBER($U19),$U19+IF($J19="",0,$J19),"")</x:f>
      </x:c>
      <x:c r="W19" s="337"/>
      <x:c r="X19" s="338" t="str">
        <x:f>IF(COUNTA($B19:$K19)+COUNTA($Q19:$T19)+COUNTA($W19)=0,"",IF($B19="","FALTA ID",IF(COUNTIF($B$19:$B$118,$B19)&gt;1,"ID REPETIDO",IF($E19="","FALTA DESCRIPCIÓN",IF($K19="","FALTA TIPO",IF(AND($K19&lt;&gt;"A",$J19=""),"FALTA TIEMPO",IF(AND($K19="T",OR($G19="",$H19="",$I19="")),"REVISAR TRANSPORTE",IF($U19="REVISAR","REVISAR PRECEDENCIA","OK"))))))))</x:f>
      </x:c>
    </x:row>
    <x:row r="20" ht="24" customHeight="1">
      <x:c r="A20" s="326" t="str">
        <x:f>IF($E20="","",COUNTA($E$19:E20))</x:f>
      </x:c>
      <x:c r="B20" s="327"/>
      <x:c r="C20" s="327"/>
      <x:c r="D20" s="327"/>
      <x:c r="E20" s="328"/>
      <x:c r="F20" s="328"/>
      <x:c r="G20" s="328"/>
      <x:c r="H20" s="328"/>
      <x:c r="I20" s="329"/>
      <x:c r="J20" s="329"/>
      <x:c r="K20" s="327"/>
      <x:c r="L20" s="330" t="str">
        <x:f>IF($K20="O", "●", "")</x:f>
      </x:c>
      <x:c r="M20" s="331" t="str">
        <x:f>IF($K20="T", "➜", "")</x:f>
      </x:c>
      <x:c r="N20" s="332" t="str">
        <x:f>IF($K20="I", "■", "")</x:f>
      </x:c>
      <x:c r="O20" s="333" t="str">
        <x:f>IF($K20="E", "D", "")</x:f>
      </x:c>
      <x:c r="P20" s="334" t="str">
        <x:f>IF($K20="A", "▼", "")</x:f>
      </x:c>
      <x:c r="Q20" s="335"/>
      <x:c r="R20" s="335"/>
      <x:c r="S20" s="335"/>
      <x:c r="T20" s="335"/>
      <x:c r="U20" s="336" t="str">
        <x:f>IF(OR($B20="",$E20="",$K20="",AND($K20&lt;&gt;"A",$J20="")),"",IF(OR(AND($Q20&lt;&gt;"",COUNTIF($B$19:$B19,$Q20)=0),AND($R20&lt;&gt;"",COUNTIF($B$19:$B19,$R20)=0),AND($S20&lt;&gt;"",COUNTIF($B$19:$B19,$S20)=0),AND($T20&lt;&gt;"",COUNTIF($B$19:$B19,$T20)=0)),"REVISAR",MAX(IFERROR(INDEX($V$19:$V19,MATCH($Q20,$B$19:$B19,0)),0),IFERROR(INDEX($V$19:$V19,MATCH($R20,$B$19:$B19,0)),0),IFERROR(INDEX($V$19:$V19,MATCH($S20,$B$19:$B19,0)),0),IFERROR(INDEX($V$19:$V19,MATCH($T20,$B$19:$B19,0)),0))))</x:f>
      </x:c>
      <x:c r="V20" s="336" t="str">
        <x:f>IF(ISNUMBER($U20),$U20+IF($J20="",0,$J20),"")</x:f>
      </x:c>
      <x:c r="W20" s="337"/>
      <x:c r="X20" s="338" t="str">
        <x:f>IF(COUNTA($B20:$K20)+COUNTA($Q20:$T20)+COUNTA($W20)=0,"",IF($B20="","FALTA ID",IF(COUNTIF($B$19:$B$118,$B20)&gt;1,"ID REPETIDO",IF($E20="","FALTA DESCRIPCIÓN",IF($K20="","FALTA TIPO",IF(AND($K20&lt;&gt;"A",$J20=""),"FALTA TIEMPO",IF(AND($K20="T",OR($G20="",$H20="",$I20="")),"REVISAR TRANSPORTE",IF($U20="REVISAR","REVISAR PRECEDENCIA","OK"))))))))</x:f>
      </x:c>
    </x:row>
    <x:row r="21" ht="24" customHeight="1">
      <x:c r="A21" s="326" t="str">
        <x:f>IF($E21="","",COUNTA($E$19:E21))</x:f>
      </x:c>
      <x:c r="B21" s="327"/>
      <x:c r="C21" s="327"/>
      <x:c r="D21" s="327"/>
      <x:c r="E21" s="328"/>
      <x:c r="F21" s="328"/>
      <x:c r="G21" s="328"/>
      <x:c r="H21" s="328"/>
      <x:c r="I21" s="329"/>
      <x:c r="J21" s="329"/>
      <x:c r="K21" s="327"/>
      <x:c r="L21" s="330" t="str">
        <x:f>IF($K21="O", "●", "")</x:f>
      </x:c>
      <x:c r="M21" s="331" t="str">
        <x:f>IF($K21="T", "➜", "")</x:f>
      </x:c>
      <x:c r="N21" s="332" t="str">
        <x:f>IF($K21="I", "■", "")</x:f>
      </x:c>
      <x:c r="O21" s="333" t="str">
        <x:f>IF($K21="E", "D", "")</x:f>
      </x:c>
      <x:c r="P21" s="334" t="str">
        <x:f>IF($K21="A", "▼", "")</x:f>
      </x:c>
      <x:c r="Q21" s="335"/>
      <x:c r="R21" s="335"/>
      <x:c r="S21" s="335"/>
      <x:c r="T21" s="335"/>
      <x:c r="U21" s="336" t="str">
        <x:f>IF(OR($B21="",$E21="",$K21="",AND($K21&lt;&gt;"A",$J21="")),"",IF(OR(AND($Q21&lt;&gt;"",COUNTIF($B$19:$B20,$Q21)=0),AND($R21&lt;&gt;"",COUNTIF($B$19:$B20,$R21)=0),AND($S21&lt;&gt;"",COUNTIF($B$19:$B20,$S21)=0),AND($T21&lt;&gt;"",COUNTIF($B$19:$B20,$T21)=0)),"REVISAR",MAX(IFERROR(INDEX($V$19:$V20,MATCH($Q21,$B$19:$B20,0)),0),IFERROR(INDEX($V$19:$V20,MATCH($R21,$B$19:$B20,0)),0),IFERROR(INDEX($V$19:$V20,MATCH($S21,$B$19:$B20,0)),0),IFERROR(INDEX($V$19:$V20,MATCH($T21,$B$19:$B20,0)),0))))</x:f>
      </x:c>
      <x:c r="V21" s="336" t="str">
        <x:f>IF(ISNUMBER($U21),$U21+IF($J21="",0,$J21),"")</x:f>
      </x:c>
      <x:c r="W21" s="337"/>
      <x:c r="X21" s="338" t="str">
        <x:f>IF(COUNTA($B21:$K21)+COUNTA($Q21:$T21)+COUNTA($W21)=0,"",IF($B21="","FALTA ID",IF(COUNTIF($B$19:$B$118,$B21)&gt;1,"ID REPETIDO",IF($E21="","FALTA DESCRIPCIÓN",IF($K21="","FALTA TIPO",IF(AND($K21&lt;&gt;"A",$J21=""),"FALTA TIEMPO",IF(AND($K21="T",OR($G21="",$H21="",$I21="")),"REVISAR TRANSPORTE",IF($U21="REVISAR","REVISAR PRECEDENCIA","OK"))))))))</x:f>
      </x:c>
    </x:row>
    <x:row r="22" ht="24" customHeight="1">
      <x:c r="A22" s="326" t="str">
        <x:f>IF($E22="","",COUNTA($E$19:E22))</x:f>
      </x:c>
      <x:c r="B22" s="327"/>
      <x:c r="C22" s="327"/>
      <x:c r="D22" s="327"/>
      <x:c r="E22" s="328"/>
      <x:c r="F22" s="328"/>
      <x:c r="G22" s="328"/>
      <x:c r="H22" s="328"/>
      <x:c r="I22" s="329"/>
      <x:c r="J22" s="329"/>
      <x:c r="K22" s="327"/>
      <x:c r="L22" s="330" t="str">
        <x:f>IF($K22="O", "●", "")</x:f>
      </x:c>
      <x:c r="M22" s="331" t="str">
        <x:f>IF($K22="T", "➜", "")</x:f>
      </x:c>
      <x:c r="N22" s="332" t="str">
        <x:f>IF($K22="I", "■", "")</x:f>
      </x:c>
      <x:c r="O22" s="333" t="str">
        <x:f>IF($K22="E", "D", "")</x:f>
      </x:c>
      <x:c r="P22" s="334" t="str">
        <x:f>IF($K22="A", "▼", "")</x:f>
      </x:c>
      <x:c r="Q22" s="335"/>
      <x:c r="R22" s="335"/>
      <x:c r="S22" s="335"/>
      <x:c r="T22" s="335"/>
      <x:c r="U22" s="336" t="str">
        <x:f>IF(OR($B22="",$E22="",$K22="",AND($K22&lt;&gt;"A",$J22="")),"",IF(OR(AND($Q22&lt;&gt;"",COUNTIF($B$19:$B21,$Q22)=0),AND($R22&lt;&gt;"",COUNTIF($B$19:$B21,$R22)=0),AND($S22&lt;&gt;"",COUNTIF($B$19:$B21,$S22)=0),AND($T22&lt;&gt;"",COUNTIF($B$19:$B21,$T22)=0)),"REVISAR",MAX(IFERROR(INDEX($V$19:$V21,MATCH($Q22,$B$19:$B21,0)),0),IFERROR(INDEX($V$19:$V21,MATCH($R22,$B$19:$B21,0)),0),IFERROR(INDEX($V$19:$V21,MATCH($S22,$B$19:$B21,0)),0),IFERROR(INDEX($V$19:$V21,MATCH($T22,$B$19:$B21,0)),0))))</x:f>
      </x:c>
      <x:c r="V22" s="336" t="str">
        <x:f>IF(ISNUMBER($U22),$U22+IF($J22="",0,$J22),"")</x:f>
      </x:c>
      <x:c r="W22" s="337"/>
      <x:c r="X22" s="338" t="str">
        <x:f>IF(COUNTA($B22:$K22)+COUNTA($Q22:$T22)+COUNTA($W22)=0,"",IF($B22="","FALTA ID",IF(COUNTIF($B$19:$B$118,$B22)&gt;1,"ID REPETIDO",IF($E22="","FALTA DESCRIPCIÓN",IF($K22="","FALTA TIPO",IF(AND($K22&lt;&gt;"A",$J22=""),"FALTA TIEMPO",IF(AND($K22="T",OR($G22="",$H22="",$I22="")),"REVISAR TRANSPORTE",IF($U22="REVISAR","REVISAR PRECEDENCIA","OK"))))))))</x:f>
      </x:c>
    </x:row>
    <x:row r="23" ht="24" customHeight="1">
      <x:c r="A23" s="326" t="str">
        <x:f>IF($E23="","",COUNTA($E$19:E23))</x:f>
      </x:c>
      <x:c r="B23" s="327"/>
      <x:c r="C23" s="327"/>
      <x:c r="D23" s="327"/>
      <x:c r="E23" s="328"/>
      <x:c r="F23" s="328"/>
      <x:c r="G23" s="328"/>
      <x:c r="H23" s="328"/>
      <x:c r="I23" s="329"/>
      <x:c r="J23" s="329"/>
      <x:c r="K23" s="327"/>
      <x:c r="L23" s="330" t="str">
        <x:f>IF($K23="O", "●", "")</x:f>
      </x:c>
      <x:c r="M23" s="331" t="str">
        <x:f>IF($K23="T", "➜", "")</x:f>
      </x:c>
      <x:c r="N23" s="332" t="str">
        <x:f>IF($K23="I", "■", "")</x:f>
      </x:c>
      <x:c r="O23" s="333" t="str">
        <x:f>IF($K23="E", "D", "")</x:f>
      </x:c>
      <x:c r="P23" s="334" t="str">
        <x:f>IF($K23="A", "▼", "")</x:f>
      </x:c>
      <x:c r="Q23" s="335"/>
      <x:c r="R23" s="335"/>
      <x:c r="S23" s="335"/>
      <x:c r="T23" s="335"/>
      <x:c r="U23" s="336" t="str">
        <x:f>IF(OR($B23="",$E23="",$K23="",AND($K23&lt;&gt;"A",$J23="")),"",IF(OR(AND($Q23&lt;&gt;"",COUNTIF($B$19:$B22,$Q23)=0),AND($R23&lt;&gt;"",COUNTIF($B$19:$B22,$R23)=0),AND($S23&lt;&gt;"",COUNTIF($B$19:$B22,$S23)=0),AND($T23&lt;&gt;"",COUNTIF($B$19:$B22,$T23)=0)),"REVISAR",MAX(IFERROR(INDEX($V$19:$V22,MATCH($Q23,$B$19:$B22,0)),0),IFERROR(INDEX($V$19:$V22,MATCH($R23,$B$19:$B22,0)),0),IFERROR(INDEX($V$19:$V22,MATCH($S23,$B$19:$B22,0)),0),IFERROR(INDEX($V$19:$V22,MATCH($T23,$B$19:$B22,0)),0))))</x:f>
      </x:c>
      <x:c r="V23" s="336" t="str">
        <x:f>IF(ISNUMBER($U23),$U23+IF($J23="",0,$J23),"")</x:f>
      </x:c>
      <x:c r="W23" s="337"/>
      <x:c r="X23" s="338" t="str">
        <x:f>IF(COUNTA($B23:$K23)+COUNTA($Q23:$T23)+COUNTA($W23)=0,"",IF($B23="","FALTA ID",IF(COUNTIF($B$19:$B$118,$B23)&gt;1,"ID REPETIDO",IF($E23="","FALTA DESCRIPCIÓN",IF($K23="","FALTA TIPO",IF(AND($K23&lt;&gt;"A",$J23=""),"FALTA TIEMPO",IF(AND($K23="T",OR($G23="",$H23="",$I23="")),"REVISAR TRANSPORTE",IF($U23="REVISAR","REVISAR PRECEDENCIA","OK"))))))))</x:f>
      </x:c>
    </x:row>
    <x:row r="24" ht="24" customHeight="1">
      <x:c r="A24" s="326" t="str">
        <x:f>IF($E24="","",COUNTA($E$19:E24))</x:f>
      </x:c>
      <x:c r="B24" s="327"/>
      <x:c r="C24" s="327"/>
      <x:c r="D24" s="327"/>
      <x:c r="E24" s="328"/>
      <x:c r="F24" s="328"/>
      <x:c r="G24" s="328"/>
      <x:c r="H24" s="328"/>
      <x:c r="I24" s="329"/>
      <x:c r="J24" s="329"/>
      <x:c r="K24" s="327"/>
      <x:c r="L24" s="330" t="str">
        <x:f>IF($K24="O", "●", "")</x:f>
      </x:c>
      <x:c r="M24" s="331" t="str">
        <x:f>IF($K24="T", "➜", "")</x:f>
      </x:c>
      <x:c r="N24" s="332" t="str">
        <x:f>IF($K24="I", "■", "")</x:f>
      </x:c>
      <x:c r="O24" s="333" t="str">
        <x:f>IF($K24="E", "D", "")</x:f>
      </x:c>
      <x:c r="P24" s="334" t="str">
        <x:f>IF($K24="A", "▼", "")</x:f>
      </x:c>
      <x:c r="Q24" s="335"/>
      <x:c r="R24" s="335"/>
      <x:c r="S24" s="335"/>
      <x:c r="T24" s="335"/>
      <x:c r="U24" s="336" t="str">
        <x:f>IF(OR($B24="",$E24="",$K24="",AND($K24&lt;&gt;"A",$J24="")),"",IF(OR(AND($Q24&lt;&gt;"",COUNTIF($B$19:$B23,$Q24)=0),AND($R24&lt;&gt;"",COUNTIF($B$19:$B23,$R24)=0),AND($S24&lt;&gt;"",COUNTIF($B$19:$B23,$S24)=0),AND($T24&lt;&gt;"",COUNTIF($B$19:$B23,$T24)=0)),"REVISAR",MAX(IFERROR(INDEX($V$19:$V23,MATCH($Q24,$B$19:$B23,0)),0),IFERROR(INDEX($V$19:$V23,MATCH($R24,$B$19:$B23,0)),0),IFERROR(INDEX($V$19:$V23,MATCH($S24,$B$19:$B23,0)),0),IFERROR(INDEX($V$19:$V23,MATCH($T24,$B$19:$B23,0)),0))))</x:f>
      </x:c>
      <x:c r="V24" s="336" t="str">
        <x:f>IF(ISNUMBER($U24),$U24+IF($J24="",0,$J24),"")</x:f>
      </x:c>
      <x:c r="W24" s="337"/>
      <x:c r="X24" s="338" t="str">
        <x:f>IF(COUNTA($B24:$K24)+COUNTA($Q24:$T24)+COUNTA($W24)=0,"",IF($B24="","FALTA ID",IF(COUNTIF($B$19:$B$118,$B24)&gt;1,"ID REPETIDO",IF($E24="","FALTA DESCRIPCIÓN",IF($K24="","FALTA TIPO",IF(AND($K24&lt;&gt;"A",$J24=""),"FALTA TIEMPO",IF(AND($K24="T",OR($G24="",$H24="",$I24="")),"REVISAR TRANSPORTE",IF($U24="REVISAR","REVISAR PRECEDENCIA","OK"))))))))</x:f>
      </x:c>
    </x:row>
    <x:row r="25" ht="24" customHeight="1">
      <x:c r="A25" s="326" t="str">
        <x:f>IF($E25="","",COUNTA($E$19:E25))</x:f>
      </x:c>
      <x:c r="B25" s="327"/>
      <x:c r="C25" s="327"/>
      <x:c r="D25" s="327"/>
      <x:c r="E25" s="328"/>
      <x:c r="F25" s="328"/>
      <x:c r="G25" s="328"/>
      <x:c r="H25" s="328"/>
      <x:c r="I25" s="329"/>
      <x:c r="J25" s="329"/>
      <x:c r="K25" s="327"/>
      <x:c r="L25" s="330" t="str">
        <x:f>IF($K25="O", "●", "")</x:f>
      </x:c>
      <x:c r="M25" s="331" t="str">
        <x:f>IF($K25="T", "➜", "")</x:f>
      </x:c>
      <x:c r="N25" s="332" t="str">
        <x:f>IF($K25="I", "■", "")</x:f>
      </x:c>
      <x:c r="O25" s="333" t="str">
        <x:f>IF($K25="E", "D", "")</x:f>
      </x:c>
      <x:c r="P25" s="334" t="str">
        <x:f>IF($K25="A", "▼", "")</x:f>
      </x:c>
      <x:c r="Q25" s="335"/>
      <x:c r="R25" s="335"/>
      <x:c r="S25" s="335"/>
      <x:c r="T25" s="335"/>
      <x:c r="U25" s="336" t="str">
        <x:f>IF(OR($B25="",$E25="",$K25="",AND($K25&lt;&gt;"A",$J25="")),"",IF(OR(AND($Q25&lt;&gt;"",COUNTIF($B$19:$B24,$Q25)=0),AND($R25&lt;&gt;"",COUNTIF($B$19:$B24,$R25)=0),AND($S25&lt;&gt;"",COUNTIF($B$19:$B24,$S25)=0),AND($T25&lt;&gt;"",COUNTIF($B$19:$B24,$T25)=0)),"REVISAR",MAX(IFERROR(INDEX($V$19:$V24,MATCH($Q25,$B$19:$B24,0)),0),IFERROR(INDEX($V$19:$V24,MATCH($R25,$B$19:$B24,0)),0),IFERROR(INDEX($V$19:$V24,MATCH($S25,$B$19:$B24,0)),0),IFERROR(INDEX($V$19:$V24,MATCH($T25,$B$19:$B24,0)),0))))</x:f>
      </x:c>
      <x:c r="V25" s="336" t="str">
        <x:f>IF(ISNUMBER($U25),$U25+IF($J25="",0,$J25),"")</x:f>
      </x:c>
      <x:c r="W25" s="337"/>
      <x:c r="X25" s="338" t="str">
        <x:f>IF(COUNTA($B25:$K25)+COUNTA($Q25:$T25)+COUNTA($W25)=0,"",IF($B25="","FALTA ID",IF(COUNTIF($B$19:$B$118,$B25)&gt;1,"ID REPETIDO",IF($E25="","FALTA DESCRIPCIÓN",IF($K25="","FALTA TIPO",IF(AND($K25&lt;&gt;"A",$J25=""),"FALTA TIEMPO",IF(AND($K25="T",OR($G25="",$H25="",$I25="")),"REVISAR TRANSPORTE",IF($U25="REVISAR","REVISAR PRECEDENCIA","OK"))))))))</x:f>
      </x:c>
    </x:row>
    <x:row r="26" ht="24" customHeight="1">
      <x:c r="A26" s="326" t="str">
        <x:f>IF($E26="","",COUNTA($E$19:E26))</x:f>
      </x:c>
      <x:c r="B26" s="327"/>
      <x:c r="C26" s="327"/>
      <x:c r="D26" s="327"/>
      <x:c r="E26" s="328"/>
      <x:c r="F26" s="328"/>
      <x:c r="G26" s="328"/>
      <x:c r="H26" s="328"/>
      <x:c r="I26" s="329"/>
      <x:c r="J26" s="329"/>
      <x:c r="K26" s="327"/>
      <x:c r="L26" s="330" t="str">
        <x:f>IF($K26="O", "●", "")</x:f>
      </x:c>
      <x:c r="M26" s="331" t="str">
        <x:f>IF($K26="T", "➜", "")</x:f>
      </x:c>
      <x:c r="N26" s="332" t="str">
        <x:f>IF($K26="I", "■", "")</x:f>
      </x:c>
      <x:c r="O26" s="333" t="str">
        <x:f>IF($K26="E", "D", "")</x:f>
      </x:c>
      <x:c r="P26" s="334" t="str">
        <x:f>IF($K26="A", "▼", "")</x:f>
      </x:c>
      <x:c r="Q26" s="335"/>
      <x:c r="R26" s="335"/>
      <x:c r="S26" s="335"/>
      <x:c r="T26" s="335"/>
      <x:c r="U26" s="336" t="str">
        <x:f>IF(OR($B26="",$E26="",$K26="",AND($K26&lt;&gt;"A",$J26="")),"",IF(OR(AND($Q26&lt;&gt;"",COUNTIF($B$19:$B25,$Q26)=0),AND($R26&lt;&gt;"",COUNTIF($B$19:$B25,$R26)=0),AND($S26&lt;&gt;"",COUNTIF($B$19:$B25,$S26)=0),AND($T26&lt;&gt;"",COUNTIF($B$19:$B25,$T26)=0)),"REVISAR",MAX(IFERROR(INDEX($V$19:$V25,MATCH($Q26,$B$19:$B25,0)),0),IFERROR(INDEX($V$19:$V25,MATCH($R26,$B$19:$B25,0)),0),IFERROR(INDEX($V$19:$V25,MATCH($S26,$B$19:$B25,0)),0),IFERROR(INDEX($V$19:$V25,MATCH($T26,$B$19:$B25,0)),0))))</x:f>
      </x:c>
      <x:c r="V26" s="336" t="str">
        <x:f>IF(ISNUMBER($U26),$U26+IF($J26="",0,$J26),"")</x:f>
      </x:c>
      <x:c r="W26" s="337"/>
      <x:c r="X26" s="338" t="str">
        <x:f>IF(COUNTA($B26:$K26)+COUNTA($Q26:$T26)+COUNTA($W26)=0,"",IF($B26="","FALTA ID",IF(COUNTIF($B$19:$B$118,$B26)&gt;1,"ID REPETIDO",IF($E26="","FALTA DESCRIPCIÓN",IF($K26="","FALTA TIPO",IF(AND($K26&lt;&gt;"A",$J26=""),"FALTA TIEMPO",IF(AND($K26="T",OR($G26="",$H26="",$I26="")),"REVISAR TRANSPORTE",IF($U26="REVISAR","REVISAR PRECEDENCIA","OK"))))))))</x:f>
      </x:c>
    </x:row>
    <x:row r="27" ht="24" customHeight="1">
      <x:c r="A27" s="326" t="str">
        <x:f>IF($E27="","",COUNTA($E$19:E27))</x:f>
      </x:c>
      <x:c r="B27" s="327"/>
      <x:c r="C27" s="327"/>
      <x:c r="D27" s="327"/>
      <x:c r="E27" s="328"/>
      <x:c r="F27" s="328"/>
      <x:c r="G27" s="328"/>
      <x:c r="H27" s="328"/>
      <x:c r="I27" s="329"/>
      <x:c r="J27" s="329"/>
      <x:c r="K27" s="327"/>
      <x:c r="L27" s="330" t="str">
        <x:f>IF($K27="O", "●", "")</x:f>
      </x:c>
      <x:c r="M27" s="331" t="str">
        <x:f>IF($K27="T", "➜", "")</x:f>
      </x:c>
      <x:c r="N27" s="332" t="str">
        <x:f>IF($K27="I", "■", "")</x:f>
      </x:c>
      <x:c r="O27" s="333" t="str">
        <x:f>IF($K27="E", "D", "")</x:f>
      </x:c>
      <x:c r="P27" s="334" t="str">
        <x:f>IF($K27="A", "▼", "")</x:f>
      </x:c>
      <x:c r="Q27" s="335"/>
      <x:c r="R27" s="335"/>
      <x:c r="S27" s="335"/>
      <x:c r="T27" s="335"/>
      <x:c r="U27" s="336" t="str">
        <x:f>IF(OR($B27="",$E27="",$K27="",AND($K27&lt;&gt;"A",$J27="")),"",IF(OR(AND($Q27&lt;&gt;"",COUNTIF($B$19:$B26,$Q27)=0),AND($R27&lt;&gt;"",COUNTIF($B$19:$B26,$R27)=0),AND($S27&lt;&gt;"",COUNTIF($B$19:$B26,$S27)=0),AND($T27&lt;&gt;"",COUNTIF($B$19:$B26,$T27)=0)),"REVISAR",MAX(IFERROR(INDEX($V$19:$V26,MATCH($Q27,$B$19:$B26,0)),0),IFERROR(INDEX($V$19:$V26,MATCH($R27,$B$19:$B26,0)),0),IFERROR(INDEX($V$19:$V26,MATCH($S27,$B$19:$B26,0)),0),IFERROR(INDEX($V$19:$V26,MATCH($T27,$B$19:$B26,0)),0))))</x:f>
      </x:c>
      <x:c r="V27" s="336" t="str">
        <x:f>IF(ISNUMBER($U27),$U27+IF($J27="",0,$J27),"")</x:f>
      </x:c>
      <x:c r="W27" s="337"/>
      <x:c r="X27" s="338" t="str">
        <x:f>IF(COUNTA($B27:$K27)+COUNTA($Q27:$T27)+COUNTA($W27)=0,"",IF($B27="","FALTA ID",IF(COUNTIF($B$19:$B$118,$B27)&gt;1,"ID REPETIDO",IF($E27="","FALTA DESCRIPCIÓN",IF($K27="","FALTA TIPO",IF(AND($K27&lt;&gt;"A",$J27=""),"FALTA TIEMPO",IF(AND($K27="T",OR($G27="",$H27="",$I27="")),"REVISAR TRANSPORTE",IF($U27="REVISAR","REVISAR PRECEDENCIA","OK"))))))))</x:f>
      </x:c>
    </x:row>
    <x:row r="28" ht="24" customHeight="1">
      <x:c r="A28" s="326" t="str">
        <x:f>IF($E28="","",COUNTA($E$19:E28))</x:f>
      </x:c>
      <x:c r="B28" s="327"/>
      <x:c r="C28" s="327"/>
      <x:c r="D28" s="327"/>
      <x:c r="E28" s="328"/>
      <x:c r="F28" s="328"/>
      <x:c r="G28" s="328"/>
      <x:c r="H28" s="328"/>
      <x:c r="I28" s="329"/>
      <x:c r="J28" s="329"/>
      <x:c r="K28" s="327"/>
      <x:c r="L28" s="330" t="str">
        <x:f>IF($K28="O", "●", "")</x:f>
      </x:c>
      <x:c r="M28" s="331" t="str">
        <x:f>IF($K28="T", "➜", "")</x:f>
      </x:c>
      <x:c r="N28" s="332" t="str">
        <x:f>IF($K28="I", "■", "")</x:f>
      </x:c>
      <x:c r="O28" s="333" t="str">
        <x:f>IF($K28="E", "D", "")</x:f>
      </x:c>
      <x:c r="P28" s="334" t="str">
        <x:f>IF($K28="A", "▼", "")</x:f>
      </x:c>
      <x:c r="Q28" s="335"/>
      <x:c r="R28" s="335"/>
      <x:c r="S28" s="335"/>
      <x:c r="T28" s="335"/>
      <x:c r="U28" s="336" t="str">
        <x:f>IF(OR($B28="",$E28="",$K28="",AND($K28&lt;&gt;"A",$J28="")),"",IF(OR(AND($Q28&lt;&gt;"",COUNTIF($B$19:$B27,$Q28)=0),AND($R28&lt;&gt;"",COUNTIF($B$19:$B27,$R28)=0),AND($S28&lt;&gt;"",COUNTIF($B$19:$B27,$S28)=0),AND($T28&lt;&gt;"",COUNTIF($B$19:$B27,$T28)=0)),"REVISAR",MAX(IFERROR(INDEX($V$19:$V27,MATCH($Q28,$B$19:$B27,0)),0),IFERROR(INDEX($V$19:$V27,MATCH($R28,$B$19:$B27,0)),0),IFERROR(INDEX($V$19:$V27,MATCH($S28,$B$19:$B27,0)),0),IFERROR(INDEX($V$19:$V27,MATCH($T28,$B$19:$B27,0)),0))))</x:f>
      </x:c>
      <x:c r="V28" s="336" t="str">
        <x:f>IF(ISNUMBER($U28),$U28+IF($J28="",0,$J28),"")</x:f>
      </x:c>
      <x:c r="W28" s="337"/>
      <x:c r="X28" s="338" t="str">
        <x:f>IF(COUNTA($B28:$K28)+COUNTA($Q28:$T28)+COUNTA($W28)=0,"",IF($B28="","FALTA ID",IF(COUNTIF($B$19:$B$118,$B28)&gt;1,"ID REPETIDO",IF($E28="","FALTA DESCRIPCIÓN",IF($K28="","FALTA TIPO",IF(AND($K28&lt;&gt;"A",$J28=""),"FALTA TIEMPO",IF(AND($K28="T",OR($G28="",$H28="",$I28="")),"REVISAR TRANSPORTE",IF($U28="REVISAR","REVISAR PRECEDENCIA","OK"))))))))</x:f>
      </x:c>
    </x:row>
    <x:row r="29" ht="24" customHeight="1">
      <x:c r="A29" s="326" t="str">
        <x:f>IF($E29="","",COUNTA($E$19:E29))</x:f>
      </x:c>
      <x:c r="B29" s="327"/>
      <x:c r="C29" s="327"/>
      <x:c r="D29" s="327"/>
      <x:c r="E29" s="328"/>
      <x:c r="F29" s="328"/>
      <x:c r="G29" s="328"/>
      <x:c r="H29" s="328"/>
      <x:c r="I29" s="329"/>
      <x:c r="J29" s="329"/>
      <x:c r="K29" s="327"/>
      <x:c r="L29" s="330" t="str">
        <x:f>IF($K29="O", "●", "")</x:f>
      </x:c>
      <x:c r="M29" s="331" t="str">
        <x:f>IF($K29="T", "➜", "")</x:f>
      </x:c>
      <x:c r="N29" s="332" t="str">
        <x:f>IF($K29="I", "■", "")</x:f>
      </x:c>
      <x:c r="O29" s="333" t="str">
        <x:f>IF($K29="E", "D", "")</x:f>
      </x:c>
      <x:c r="P29" s="334" t="str">
        <x:f>IF($K29="A", "▼", "")</x:f>
      </x:c>
      <x:c r="Q29" s="335"/>
      <x:c r="R29" s="335"/>
      <x:c r="S29" s="335"/>
      <x:c r="T29" s="335"/>
      <x:c r="U29" s="336" t="str">
        <x:f>IF(OR($B29="",$E29="",$K29="",AND($K29&lt;&gt;"A",$J29="")),"",IF(OR(AND($Q29&lt;&gt;"",COUNTIF($B$19:$B28,$Q29)=0),AND($R29&lt;&gt;"",COUNTIF($B$19:$B28,$R29)=0),AND($S29&lt;&gt;"",COUNTIF($B$19:$B28,$S29)=0),AND($T29&lt;&gt;"",COUNTIF($B$19:$B28,$T29)=0)),"REVISAR",MAX(IFERROR(INDEX($V$19:$V28,MATCH($Q29,$B$19:$B28,0)),0),IFERROR(INDEX($V$19:$V28,MATCH($R29,$B$19:$B28,0)),0),IFERROR(INDEX($V$19:$V28,MATCH($S29,$B$19:$B28,0)),0),IFERROR(INDEX($V$19:$V28,MATCH($T29,$B$19:$B28,0)),0))))</x:f>
      </x:c>
      <x:c r="V29" s="336" t="str">
        <x:f>IF(ISNUMBER($U29),$U29+IF($J29="",0,$J29),"")</x:f>
      </x:c>
      <x:c r="W29" s="337"/>
      <x:c r="X29" s="338" t="str">
        <x:f>IF(COUNTA($B29:$K29)+COUNTA($Q29:$T29)+COUNTA($W29)=0,"",IF($B29="","FALTA ID",IF(COUNTIF($B$19:$B$118,$B29)&gt;1,"ID REPETIDO",IF($E29="","FALTA DESCRIPCIÓN",IF($K29="","FALTA TIPO",IF(AND($K29&lt;&gt;"A",$J29=""),"FALTA TIEMPO",IF(AND($K29="T",OR($G29="",$H29="",$I29="")),"REVISAR TRANSPORTE",IF($U29="REVISAR","REVISAR PRECEDENCIA","OK"))))))))</x:f>
      </x:c>
    </x:row>
    <x:row r="30" ht="24" customHeight="1">
      <x:c r="A30" s="326" t="str">
        <x:f>IF($E30="","",COUNTA($E$19:E30))</x:f>
      </x:c>
      <x:c r="B30" s="327"/>
      <x:c r="C30" s="327"/>
      <x:c r="D30" s="327"/>
      <x:c r="E30" s="328"/>
      <x:c r="F30" s="328"/>
      <x:c r="G30" s="328"/>
      <x:c r="H30" s="328"/>
      <x:c r="I30" s="329"/>
      <x:c r="J30" s="329"/>
      <x:c r="K30" s="327"/>
      <x:c r="L30" s="330" t="str">
        <x:f>IF($K30="O", "●", "")</x:f>
      </x:c>
      <x:c r="M30" s="331" t="str">
        <x:f>IF($K30="T", "➜", "")</x:f>
      </x:c>
      <x:c r="N30" s="332" t="str">
        <x:f>IF($K30="I", "■", "")</x:f>
      </x:c>
      <x:c r="O30" s="333" t="str">
        <x:f>IF($K30="E", "D", "")</x:f>
      </x:c>
      <x:c r="P30" s="334" t="str">
        <x:f>IF($K30="A", "▼", "")</x:f>
      </x:c>
      <x:c r="Q30" s="335"/>
      <x:c r="R30" s="335"/>
      <x:c r="S30" s="335"/>
      <x:c r="T30" s="335"/>
      <x:c r="U30" s="336" t="str">
        <x:f>IF(OR($B30="",$E30="",$K30="",AND($K30&lt;&gt;"A",$J30="")),"",IF(OR(AND($Q30&lt;&gt;"",COUNTIF($B$19:$B29,$Q30)=0),AND($R30&lt;&gt;"",COUNTIF($B$19:$B29,$R30)=0),AND($S30&lt;&gt;"",COUNTIF($B$19:$B29,$S30)=0),AND($T30&lt;&gt;"",COUNTIF($B$19:$B29,$T30)=0)),"REVISAR",MAX(IFERROR(INDEX($V$19:$V29,MATCH($Q30,$B$19:$B29,0)),0),IFERROR(INDEX($V$19:$V29,MATCH($R30,$B$19:$B29,0)),0),IFERROR(INDEX($V$19:$V29,MATCH($S30,$B$19:$B29,0)),0),IFERROR(INDEX($V$19:$V29,MATCH($T30,$B$19:$B29,0)),0))))</x:f>
      </x:c>
      <x:c r="V30" s="336" t="str">
        <x:f>IF(ISNUMBER($U30),$U30+IF($J30="",0,$J30),"")</x:f>
      </x:c>
      <x:c r="W30" s="337"/>
      <x:c r="X30" s="338" t="str">
        <x:f>IF(COUNTA($B30:$K30)+COUNTA($Q30:$T30)+COUNTA($W30)=0,"",IF($B30="","FALTA ID",IF(COUNTIF($B$19:$B$118,$B30)&gt;1,"ID REPETIDO",IF($E30="","FALTA DESCRIPCIÓN",IF($K30="","FALTA TIPO",IF(AND($K30&lt;&gt;"A",$J30=""),"FALTA TIEMPO",IF(AND($K30="T",OR($G30="",$H30="",$I30="")),"REVISAR TRANSPORTE",IF($U30="REVISAR","REVISAR PRECEDENCIA","OK"))))))))</x:f>
      </x:c>
    </x:row>
    <x:row r="31" ht="24" customHeight="1">
      <x:c r="A31" s="326" t="str">
        <x:f>IF($E31="","",COUNTA($E$19:E31))</x:f>
      </x:c>
      <x:c r="B31" s="327"/>
      <x:c r="C31" s="327"/>
      <x:c r="D31" s="327"/>
      <x:c r="E31" s="328"/>
      <x:c r="F31" s="328"/>
      <x:c r="G31" s="328"/>
      <x:c r="H31" s="328"/>
      <x:c r="I31" s="329"/>
      <x:c r="J31" s="329"/>
      <x:c r="K31" s="327"/>
      <x:c r="L31" s="330" t="str">
        <x:f>IF($K31="O", "●", "")</x:f>
      </x:c>
      <x:c r="M31" s="331" t="str">
        <x:f>IF($K31="T", "➜", "")</x:f>
      </x:c>
      <x:c r="N31" s="332" t="str">
        <x:f>IF($K31="I", "■", "")</x:f>
      </x:c>
      <x:c r="O31" s="333" t="str">
        <x:f>IF($K31="E", "D", "")</x:f>
      </x:c>
      <x:c r="P31" s="334" t="str">
        <x:f>IF($K31="A", "▼", "")</x:f>
      </x:c>
      <x:c r="Q31" s="335"/>
      <x:c r="R31" s="335"/>
      <x:c r="S31" s="335"/>
      <x:c r="T31" s="335"/>
      <x:c r="U31" s="336" t="str">
        <x:f>IF(OR($B31="",$E31="",$K31="",AND($K31&lt;&gt;"A",$J31="")),"",IF(OR(AND($Q31&lt;&gt;"",COUNTIF($B$19:$B30,$Q31)=0),AND($R31&lt;&gt;"",COUNTIF($B$19:$B30,$R31)=0),AND($S31&lt;&gt;"",COUNTIF($B$19:$B30,$S31)=0),AND($T31&lt;&gt;"",COUNTIF($B$19:$B30,$T31)=0)),"REVISAR",MAX(IFERROR(INDEX($V$19:$V30,MATCH($Q31,$B$19:$B30,0)),0),IFERROR(INDEX($V$19:$V30,MATCH($R31,$B$19:$B30,0)),0),IFERROR(INDEX($V$19:$V30,MATCH($S31,$B$19:$B30,0)),0),IFERROR(INDEX($V$19:$V30,MATCH($T31,$B$19:$B30,0)),0))))</x:f>
      </x:c>
      <x:c r="V31" s="336" t="str">
        <x:f>IF(ISNUMBER($U31),$U31+IF($J31="",0,$J31),"")</x:f>
      </x:c>
      <x:c r="W31" s="337"/>
      <x:c r="X31" s="338" t="str">
        <x:f>IF(COUNTA($B31:$K31)+COUNTA($Q31:$T31)+COUNTA($W31)=0,"",IF($B31="","FALTA ID",IF(COUNTIF($B$19:$B$118,$B31)&gt;1,"ID REPETIDO",IF($E31="","FALTA DESCRIPCIÓN",IF($K31="","FALTA TIPO",IF(AND($K31&lt;&gt;"A",$J31=""),"FALTA TIEMPO",IF(AND($K31="T",OR($G31="",$H31="",$I31="")),"REVISAR TRANSPORTE",IF($U31="REVISAR","REVISAR PRECEDENCIA","OK"))))))))</x:f>
      </x:c>
    </x:row>
    <x:row r="32" ht="24" customHeight="1">
      <x:c r="A32" s="326" t="str">
        <x:f>IF($E32="","",COUNTA($E$19:E32))</x:f>
      </x:c>
      <x:c r="B32" s="327"/>
      <x:c r="C32" s="327"/>
      <x:c r="D32" s="327"/>
      <x:c r="E32" s="328"/>
      <x:c r="F32" s="328"/>
      <x:c r="G32" s="328"/>
      <x:c r="H32" s="328"/>
      <x:c r="I32" s="329"/>
      <x:c r="J32" s="329"/>
      <x:c r="K32" s="327"/>
      <x:c r="L32" s="330" t="str">
        <x:f>IF($K32="O", "●", "")</x:f>
      </x:c>
      <x:c r="M32" s="331" t="str">
        <x:f>IF($K32="T", "➜", "")</x:f>
      </x:c>
      <x:c r="N32" s="332" t="str">
        <x:f>IF($K32="I", "■", "")</x:f>
      </x:c>
      <x:c r="O32" s="333" t="str">
        <x:f>IF($K32="E", "D", "")</x:f>
      </x:c>
      <x:c r="P32" s="334" t="str">
        <x:f>IF($K32="A", "▼", "")</x:f>
      </x:c>
      <x:c r="Q32" s="335"/>
      <x:c r="R32" s="335"/>
      <x:c r="S32" s="335"/>
      <x:c r="T32" s="335"/>
      <x:c r="U32" s="336" t="str">
        <x:f>IF(OR($B32="",$E32="",$K32="",AND($K32&lt;&gt;"A",$J32="")),"",IF(OR(AND($Q32&lt;&gt;"",COUNTIF($B$19:$B31,$Q32)=0),AND($R32&lt;&gt;"",COUNTIF($B$19:$B31,$R32)=0),AND($S32&lt;&gt;"",COUNTIF($B$19:$B31,$S32)=0),AND($T32&lt;&gt;"",COUNTIF($B$19:$B31,$T32)=0)),"REVISAR",MAX(IFERROR(INDEX($V$19:$V31,MATCH($Q32,$B$19:$B31,0)),0),IFERROR(INDEX($V$19:$V31,MATCH($R32,$B$19:$B31,0)),0),IFERROR(INDEX($V$19:$V31,MATCH($S32,$B$19:$B31,0)),0),IFERROR(INDEX($V$19:$V31,MATCH($T32,$B$19:$B31,0)),0))))</x:f>
      </x:c>
      <x:c r="V32" s="336" t="str">
        <x:f>IF(ISNUMBER($U32),$U32+IF($J32="",0,$J32),"")</x:f>
      </x:c>
      <x:c r="W32" s="337"/>
      <x:c r="X32" s="338" t="str">
        <x:f>IF(COUNTA($B32:$K32)+COUNTA($Q32:$T32)+COUNTA($W32)=0,"",IF($B32="","FALTA ID",IF(COUNTIF($B$19:$B$118,$B32)&gt;1,"ID REPETIDO",IF($E32="","FALTA DESCRIPCIÓN",IF($K32="","FALTA TIPO",IF(AND($K32&lt;&gt;"A",$J32=""),"FALTA TIEMPO",IF(AND($K32="T",OR($G32="",$H32="",$I32="")),"REVISAR TRANSPORTE",IF($U32="REVISAR","REVISAR PRECEDENCIA","OK"))))))))</x:f>
      </x:c>
    </x:row>
    <x:row r="33" ht="24" customHeight="1">
      <x:c r="A33" s="326" t="str">
        <x:f>IF($E33="","",COUNTA($E$19:E33))</x:f>
      </x:c>
      <x:c r="B33" s="327"/>
      <x:c r="C33" s="327"/>
      <x:c r="D33" s="327"/>
      <x:c r="E33" s="328"/>
      <x:c r="F33" s="328"/>
      <x:c r="G33" s="328"/>
      <x:c r="H33" s="328"/>
      <x:c r="I33" s="329"/>
      <x:c r="J33" s="329"/>
      <x:c r="K33" s="327"/>
      <x:c r="L33" s="330" t="str">
        <x:f>IF($K33="O", "●", "")</x:f>
      </x:c>
      <x:c r="M33" s="331" t="str">
        <x:f>IF($K33="T", "➜", "")</x:f>
      </x:c>
      <x:c r="N33" s="332" t="str">
        <x:f>IF($K33="I", "■", "")</x:f>
      </x:c>
      <x:c r="O33" s="333" t="str">
        <x:f>IF($K33="E", "D", "")</x:f>
      </x:c>
      <x:c r="P33" s="334" t="str">
        <x:f>IF($K33="A", "▼", "")</x:f>
      </x:c>
      <x:c r="Q33" s="335"/>
      <x:c r="R33" s="335"/>
      <x:c r="S33" s="335"/>
      <x:c r="T33" s="335"/>
      <x:c r="U33" s="336" t="str">
        <x:f>IF(OR($B33="",$E33="",$K33="",AND($K33&lt;&gt;"A",$J33="")),"",IF(OR(AND($Q33&lt;&gt;"",COUNTIF($B$19:$B32,$Q33)=0),AND($R33&lt;&gt;"",COUNTIF($B$19:$B32,$R33)=0),AND($S33&lt;&gt;"",COUNTIF($B$19:$B32,$S33)=0),AND($T33&lt;&gt;"",COUNTIF($B$19:$B32,$T33)=0)),"REVISAR",MAX(IFERROR(INDEX($V$19:$V32,MATCH($Q33,$B$19:$B32,0)),0),IFERROR(INDEX($V$19:$V32,MATCH($R33,$B$19:$B32,0)),0),IFERROR(INDEX($V$19:$V32,MATCH($S33,$B$19:$B32,0)),0),IFERROR(INDEX($V$19:$V32,MATCH($T33,$B$19:$B32,0)),0))))</x:f>
      </x:c>
      <x:c r="V33" s="336" t="str">
        <x:f>IF(ISNUMBER($U33),$U33+IF($J33="",0,$J33),"")</x:f>
      </x:c>
      <x:c r="W33" s="337"/>
      <x:c r="X33" s="338" t="str">
        <x:f>IF(COUNTA($B33:$K33)+COUNTA($Q33:$T33)+COUNTA($W33)=0,"",IF($B33="","FALTA ID",IF(COUNTIF($B$19:$B$118,$B33)&gt;1,"ID REPETIDO",IF($E33="","FALTA DESCRIPCIÓN",IF($K33="","FALTA TIPO",IF(AND($K33&lt;&gt;"A",$J33=""),"FALTA TIEMPO",IF(AND($K33="T",OR($G33="",$H33="",$I33="")),"REVISAR TRANSPORTE",IF($U33="REVISAR","REVISAR PRECEDENCIA","OK"))))))))</x:f>
      </x:c>
    </x:row>
    <x:row r="34" ht="24" customHeight="1">
      <x:c r="A34" s="326" t="str">
        <x:f>IF($E34="","",COUNTA($E$19:E34))</x:f>
      </x:c>
      <x:c r="B34" s="327"/>
      <x:c r="C34" s="327"/>
      <x:c r="D34" s="327"/>
      <x:c r="E34" s="328"/>
      <x:c r="F34" s="328"/>
      <x:c r="G34" s="328"/>
      <x:c r="H34" s="328"/>
      <x:c r="I34" s="329"/>
      <x:c r="J34" s="329"/>
      <x:c r="K34" s="327"/>
      <x:c r="L34" s="330" t="str">
        <x:f>IF($K34="O", "●", "")</x:f>
      </x:c>
      <x:c r="M34" s="331" t="str">
        <x:f>IF($K34="T", "➜", "")</x:f>
      </x:c>
      <x:c r="N34" s="332" t="str">
        <x:f>IF($K34="I", "■", "")</x:f>
      </x:c>
      <x:c r="O34" s="333" t="str">
        <x:f>IF($K34="E", "D", "")</x:f>
      </x:c>
      <x:c r="P34" s="334" t="str">
        <x:f>IF($K34="A", "▼", "")</x:f>
      </x:c>
      <x:c r="Q34" s="335"/>
      <x:c r="R34" s="335"/>
      <x:c r="S34" s="335"/>
      <x:c r="T34" s="335"/>
      <x:c r="U34" s="336" t="str">
        <x:f>IF(OR($B34="",$E34="",$K34="",AND($K34&lt;&gt;"A",$J34="")),"",IF(OR(AND($Q34&lt;&gt;"",COUNTIF($B$19:$B33,$Q34)=0),AND($R34&lt;&gt;"",COUNTIF($B$19:$B33,$R34)=0),AND($S34&lt;&gt;"",COUNTIF($B$19:$B33,$S34)=0),AND($T34&lt;&gt;"",COUNTIF($B$19:$B33,$T34)=0)),"REVISAR",MAX(IFERROR(INDEX($V$19:$V33,MATCH($Q34,$B$19:$B33,0)),0),IFERROR(INDEX($V$19:$V33,MATCH($R34,$B$19:$B33,0)),0),IFERROR(INDEX($V$19:$V33,MATCH($S34,$B$19:$B33,0)),0),IFERROR(INDEX($V$19:$V33,MATCH($T34,$B$19:$B33,0)),0))))</x:f>
      </x:c>
      <x:c r="V34" s="336" t="str">
        <x:f>IF(ISNUMBER($U34),$U34+IF($J34="",0,$J34),"")</x:f>
      </x:c>
      <x:c r="W34" s="337"/>
      <x:c r="X34" s="338" t="str">
        <x:f>IF(COUNTA($B34:$K34)+COUNTA($Q34:$T34)+COUNTA($W34)=0,"",IF($B34="","FALTA ID",IF(COUNTIF($B$19:$B$118,$B34)&gt;1,"ID REPETIDO",IF($E34="","FALTA DESCRIPCIÓN",IF($K34="","FALTA TIPO",IF(AND($K34&lt;&gt;"A",$J34=""),"FALTA TIEMPO",IF(AND($K34="T",OR($G34="",$H34="",$I34="")),"REVISAR TRANSPORTE",IF($U34="REVISAR","REVISAR PRECEDENCIA","OK"))))))))</x:f>
      </x:c>
    </x:row>
    <x:row r="35" ht="24" customHeight="1">
      <x:c r="A35" s="326" t="str">
        <x:f>IF($E35="","",COUNTA($E$19:E35))</x:f>
      </x:c>
      <x:c r="B35" s="327"/>
      <x:c r="C35" s="327"/>
      <x:c r="D35" s="327"/>
      <x:c r="E35" s="328"/>
      <x:c r="F35" s="328"/>
      <x:c r="G35" s="328"/>
      <x:c r="H35" s="328"/>
      <x:c r="I35" s="329"/>
      <x:c r="J35" s="329"/>
      <x:c r="K35" s="327"/>
      <x:c r="L35" s="330" t="str">
        <x:f>IF($K35="O", "●", "")</x:f>
      </x:c>
      <x:c r="M35" s="331" t="str">
        <x:f>IF($K35="T", "➜", "")</x:f>
      </x:c>
      <x:c r="N35" s="332" t="str">
        <x:f>IF($K35="I", "■", "")</x:f>
      </x:c>
      <x:c r="O35" s="333" t="str">
        <x:f>IF($K35="E", "D", "")</x:f>
      </x:c>
      <x:c r="P35" s="334" t="str">
        <x:f>IF($K35="A", "▼", "")</x:f>
      </x:c>
      <x:c r="Q35" s="335"/>
      <x:c r="R35" s="335"/>
      <x:c r="S35" s="335"/>
      <x:c r="T35" s="335"/>
      <x:c r="U35" s="336" t="str">
        <x:f>IF(OR($B35="",$E35="",$K35="",AND($K35&lt;&gt;"A",$J35="")),"",IF(OR(AND($Q35&lt;&gt;"",COUNTIF($B$19:$B34,$Q35)=0),AND($R35&lt;&gt;"",COUNTIF($B$19:$B34,$R35)=0),AND($S35&lt;&gt;"",COUNTIF($B$19:$B34,$S35)=0),AND($T35&lt;&gt;"",COUNTIF($B$19:$B34,$T35)=0)),"REVISAR",MAX(IFERROR(INDEX($V$19:$V34,MATCH($Q35,$B$19:$B34,0)),0),IFERROR(INDEX($V$19:$V34,MATCH($R35,$B$19:$B34,0)),0),IFERROR(INDEX($V$19:$V34,MATCH($S35,$B$19:$B34,0)),0),IFERROR(INDEX($V$19:$V34,MATCH($T35,$B$19:$B34,0)),0))))</x:f>
      </x:c>
      <x:c r="V35" s="336" t="str">
        <x:f>IF(ISNUMBER($U35),$U35+IF($J35="",0,$J35),"")</x:f>
      </x:c>
      <x:c r="W35" s="337"/>
      <x:c r="X35" s="338" t="str">
        <x:f>IF(COUNTA($B35:$K35)+COUNTA($Q35:$T35)+COUNTA($W35)=0,"",IF($B35="","FALTA ID",IF(COUNTIF($B$19:$B$118,$B35)&gt;1,"ID REPETIDO",IF($E35="","FALTA DESCRIPCIÓN",IF($K35="","FALTA TIPO",IF(AND($K35&lt;&gt;"A",$J35=""),"FALTA TIEMPO",IF(AND($K35="T",OR($G35="",$H35="",$I35="")),"REVISAR TRANSPORTE",IF($U35="REVISAR","REVISAR PRECEDENCIA","OK"))))))))</x:f>
      </x:c>
    </x:row>
    <x:row r="36" ht="24" customHeight="1">
      <x:c r="A36" s="326" t="str">
        <x:f>IF($E36="","",COUNTA($E$19:E36))</x:f>
      </x:c>
      <x:c r="B36" s="327"/>
      <x:c r="C36" s="327"/>
      <x:c r="D36" s="327"/>
      <x:c r="E36" s="328"/>
      <x:c r="F36" s="328"/>
      <x:c r="G36" s="328"/>
      <x:c r="H36" s="328"/>
      <x:c r="I36" s="329"/>
      <x:c r="J36" s="329"/>
      <x:c r="K36" s="327"/>
      <x:c r="L36" s="330" t="str">
        <x:f>IF($K36="O", "●", "")</x:f>
      </x:c>
      <x:c r="M36" s="331" t="str">
        <x:f>IF($K36="T", "➜", "")</x:f>
      </x:c>
      <x:c r="N36" s="332" t="str">
        <x:f>IF($K36="I", "■", "")</x:f>
      </x:c>
      <x:c r="O36" s="333" t="str">
        <x:f>IF($K36="E", "D", "")</x:f>
      </x:c>
      <x:c r="P36" s="334" t="str">
        <x:f>IF($K36="A", "▼", "")</x:f>
      </x:c>
      <x:c r="Q36" s="335"/>
      <x:c r="R36" s="335"/>
      <x:c r="S36" s="335"/>
      <x:c r="T36" s="335"/>
      <x:c r="U36" s="336" t="str">
        <x:f>IF(OR($B36="",$E36="",$K36="",AND($K36&lt;&gt;"A",$J36="")),"",IF(OR(AND($Q36&lt;&gt;"",COUNTIF($B$19:$B35,$Q36)=0),AND($R36&lt;&gt;"",COUNTIF($B$19:$B35,$R36)=0),AND($S36&lt;&gt;"",COUNTIF($B$19:$B35,$S36)=0),AND($T36&lt;&gt;"",COUNTIF($B$19:$B35,$T36)=0)),"REVISAR",MAX(IFERROR(INDEX($V$19:$V35,MATCH($Q36,$B$19:$B35,0)),0),IFERROR(INDEX($V$19:$V35,MATCH($R36,$B$19:$B35,0)),0),IFERROR(INDEX($V$19:$V35,MATCH($S36,$B$19:$B35,0)),0),IFERROR(INDEX($V$19:$V35,MATCH($T36,$B$19:$B35,0)),0))))</x:f>
      </x:c>
      <x:c r="V36" s="336" t="str">
        <x:f>IF(ISNUMBER($U36),$U36+IF($J36="",0,$J36),"")</x:f>
      </x:c>
      <x:c r="W36" s="337"/>
      <x:c r="X36" s="338" t="str">
        <x:f>IF(COUNTA($B36:$K36)+COUNTA($Q36:$T36)+COUNTA($W36)=0,"",IF($B36="","FALTA ID",IF(COUNTIF($B$19:$B$118,$B36)&gt;1,"ID REPETIDO",IF($E36="","FALTA DESCRIPCIÓN",IF($K36="","FALTA TIPO",IF(AND($K36&lt;&gt;"A",$J36=""),"FALTA TIEMPO",IF(AND($K36="T",OR($G36="",$H36="",$I36="")),"REVISAR TRANSPORTE",IF($U36="REVISAR","REVISAR PRECEDENCIA","OK"))))))))</x:f>
      </x:c>
    </x:row>
    <x:row r="37" ht="24" customHeight="1">
      <x:c r="A37" s="326" t="str">
        <x:f>IF($E37="","",COUNTA($E$19:E37))</x:f>
      </x:c>
      <x:c r="B37" s="327"/>
      <x:c r="C37" s="327"/>
      <x:c r="D37" s="327"/>
      <x:c r="E37" s="328"/>
      <x:c r="F37" s="328"/>
      <x:c r="G37" s="328"/>
      <x:c r="H37" s="328"/>
      <x:c r="I37" s="329"/>
      <x:c r="J37" s="329"/>
      <x:c r="K37" s="327"/>
      <x:c r="L37" s="330" t="str">
        <x:f>IF($K37="O", "●", "")</x:f>
      </x:c>
      <x:c r="M37" s="331" t="str">
        <x:f>IF($K37="T", "➜", "")</x:f>
      </x:c>
      <x:c r="N37" s="332" t="str">
        <x:f>IF($K37="I", "■", "")</x:f>
      </x:c>
      <x:c r="O37" s="333" t="str">
        <x:f>IF($K37="E", "D", "")</x:f>
      </x:c>
      <x:c r="P37" s="334" t="str">
        <x:f>IF($K37="A", "▼", "")</x:f>
      </x:c>
      <x:c r="Q37" s="335"/>
      <x:c r="R37" s="335"/>
      <x:c r="S37" s="335"/>
      <x:c r="T37" s="335"/>
      <x:c r="U37" s="336" t="str">
        <x:f>IF(OR($B37="",$E37="",$K37="",AND($K37&lt;&gt;"A",$J37="")),"",IF(OR(AND($Q37&lt;&gt;"",COUNTIF($B$19:$B36,$Q37)=0),AND($R37&lt;&gt;"",COUNTIF($B$19:$B36,$R37)=0),AND($S37&lt;&gt;"",COUNTIF($B$19:$B36,$S37)=0),AND($T37&lt;&gt;"",COUNTIF($B$19:$B36,$T37)=0)),"REVISAR",MAX(IFERROR(INDEX($V$19:$V36,MATCH($Q37,$B$19:$B36,0)),0),IFERROR(INDEX($V$19:$V36,MATCH($R37,$B$19:$B36,0)),0),IFERROR(INDEX($V$19:$V36,MATCH($S37,$B$19:$B36,0)),0),IFERROR(INDEX($V$19:$V36,MATCH($T37,$B$19:$B36,0)),0))))</x:f>
      </x:c>
      <x:c r="V37" s="336" t="str">
        <x:f>IF(ISNUMBER($U37),$U37+IF($J37="",0,$J37),"")</x:f>
      </x:c>
      <x:c r="W37" s="337"/>
      <x:c r="X37" s="338" t="str">
        <x:f>IF(COUNTA($B37:$K37)+COUNTA($Q37:$T37)+COUNTA($W37)=0,"",IF($B37="","FALTA ID",IF(COUNTIF($B$19:$B$118,$B37)&gt;1,"ID REPETIDO",IF($E37="","FALTA DESCRIPCIÓN",IF($K37="","FALTA TIPO",IF(AND($K37&lt;&gt;"A",$J37=""),"FALTA TIEMPO",IF(AND($K37="T",OR($G37="",$H37="",$I37="")),"REVISAR TRANSPORTE",IF($U37="REVISAR","REVISAR PRECEDENCIA","OK"))))))))</x:f>
      </x:c>
    </x:row>
    <x:row r="38" ht="24" customHeight="1">
      <x:c r="A38" s="326" t="str">
        <x:f>IF($E38="","",COUNTA($E$19:E38))</x:f>
      </x:c>
      <x:c r="B38" s="327"/>
      <x:c r="C38" s="327"/>
      <x:c r="D38" s="327"/>
      <x:c r="E38" s="328"/>
      <x:c r="F38" s="328"/>
      <x:c r="G38" s="328"/>
      <x:c r="H38" s="328"/>
      <x:c r="I38" s="329"/>
      <x:c r="J38" s="329"/>
      <x:c r="K38" s="327"/>
      <x:c r="L38" s="330" t="str">
        <x:f>IF($K38="O", "●", "")</x:f>
      </x:c>
      <x:c r="M38" s="331" t="str">
        <x:f>IF($K38="T", "➜", "")</x:f>
      </x:c>
      <x:c r="N38" s="332" t="str">
        <x:f>IF($K38="I", "■", "")</x:f>
      </x:c>
      <x:c r="O38" s="333" t="str">
        <x:f>IF($K38="E", "D", "")</x:f>
      </x:c>
      <x:c r="P38" s="334" t="str">
        <x:f>IF($K38="A", "▼", "")</x:f>
      </x:c>
      <x:c r="Q38" s="335"/>
      <x:c r="R38" s="335"/>
      <x:c r="S38" s="335"/>
      <x:c r="T38" s="335"/>
      <x:c r="U38" s="336" t="str">
        <x:f>IF(OR($B38="",$E38="",$K38="",AND($K38&lt;&gt;"A",$J38="")),"",IF(OR(AND($Q38&lt;&gt;"",COUNTIF($B$19:$B37,$Q38)=0),AND($R38&lt;&gt;"",COUNTIF($B$19:$B37,$R38)=0),AND($S38&lt;&gt;"",COUNTIF($B$19:$B37,$S38)=0),AND($T38&lt;&gt;"",COUNTIF($B$19:$B37,$T38)=0)),"REVISAR",MAX(IFERROR(INDEX($V$19:$V37,MATCH($Q38,$B$19:$B37,0)),0),IFERROR(INDEX($V$19:$V37,MATCH($R38,$B$19:$B37,0)),0),IFERROR(INDEX($V$19:$V37,MATCH($S38,$B$19:$B37,0)),0),IFERROR(INDEX($V$19:$V37,MATCH($T38,$B$19:$B37,0)),0))))</x:f>
      </x:c>
      <x:c r="V38" s="336" t="str">
        <x:f>IF(ISNUMBER($U38),$U38+IF($J38="",0,$J38),"")</x:f>
      </x:c>
      <x:c r="W38" s="337"/>
      <x:c r="X38" s="338" t="str">
        <x:f>IF(COUNTA($B38:$K38)+COUNTA($Q38:$T38)+COUNTA($W38)=0,"",IF($B38="","FALTA ID",IF(COUNTIF($B$19:$B$118,$B38)&gt;1,"ID REPETIDO",IF($E38="","FALTA DESCRIPCIÓN",IF($K38="","FALTA TIPO",IF(AND($K38&lt;&gt;"A",$J38=""),"FALTA TIEMPO",IF(AND($K38="T",OR($G38="",$H38="",$I38="")),"REVISAR TRANSPORTE",IF($U38="REVISAR","REVISAR PRECEDENCIA","OK"))))))))</x:f>
      </x:c>
    </x:row>
    <x:row r="39" ht="24" customHeight="1">
      <x:c r="A39" s="326" t="str">
        <x:f>IF($E39="","",COUNTA($E$19:E39))</x:f>
      </x:c>
      <x:c r="B39" s="327"/>
      <x:c r="C39" s="327"/>
      <x:c r="D39" s="327"/>
      <x:c r="E39" s="328"/>
      <x:c r="F39" s="328"/>
      <x:c r="G39" s="328"/>
      <x:c r="H39" s="328"/>
      <x:c r="I39" s="329"/>
      <x:c r="J39" s="329"/>
      <x:c r="K39" s="327"/>
      <x:c r="L39" s="330" t="str">
        <x:f>IF($K39="O", "●", "")</x:f>
      </x:c>
      <x:c r="M39" s="331" t="str">
        <x:f>IF($K39="T", "➜", "")</x:f>
      </x:c>
      <x:c r="N39" s="332" t="str">
        <x:f>IF($K39="I", "■", "")</x:f>
      </x:c>
      <x:c r="O39" s="333" t="str">
        <x:f>IF($K39="E", "D", "")</x:f>
      </x:c>
      <x:c r="P39" s="334" t="str">
        <x:f>IF($K39="A", "▼", "")</x:f>
      </x:c>
      <x:c r="Q39" s="335"/>
      <x:c r="R39" s="335"/>
      <x:c r="S39" s="335"/>
      <x:c r="T39" s="335"/>
      <x:c r="U39" s="336" t="str">
        <x:f>IF(OR($B39="",$E39="",$K39="",AND($K39&lt;&gt;"A",$J39="")),"",IF(OR(AND($Q39&lt;&gt;"",COUNTIF($B$19:$B38,$Q39)=0),AND($R39&lt;&gt;"",COUNTIF($B$19:$B38,$R39)=0),AND($S39&lt;&gt;"",COUNTIF($B$19:$B38,$S39)=0),AND($T39&lt;&gt;"",COUNTIF($B$19:$B38,$T39)=0)),"REVISAR",MAX(IFERROR(INDEX($V$19:$V38,MATCH($Q39,$B$19:$B38,0)),0),IFERROR(INDEX($V$19:$V38,MATCH($R39,$B$19:$B38,0)),0),IFERROR(INDEX($V$19:$V38,MATCH($S39,$B$19:$B38,0)),0),IFERROR(INDEX($V$19:$V38,MATCH($T39,$B$19:$B38,0)),0))))</x:f>
      </x:c>
      <x:c r="V39" s="336" t="str">
        <x:f>IF(ISNUMBER($U39),$U39+IF($J39="",0,$J39),"")</x:f>
      </x:c>
      <x:c r="W39" s="337"/>
      <x:c r="X39" s="338" t="str">
        <x:f>IF(COUNTA($B39:$K39)+COUNTA($Q39:$T39)+COUNTA($W39)=0,"",IF($B39="","FALTA ID",IF(COUNTIF($B$19:$B$118,$B39)&gt;1,"ID REPETIDO",IF($E39="","FALTA DESCRIPCIÓN",IF($K39="","FALTA TIPO",IF(AND($K39&lt;&gt;"A",$J39=""),"FALTA TIEMPO",IF(AND($K39="T",OR($G39="",$H39="",$I39="")),"REVISAR TRANSPORTE",IF($U39="REVISAR","REVISAR PRECEDENCIA","OK"))))))))</x:f>
      </x:c>
    </x:row>
    <x:row r="40" ht="24" customHeight="1">
      <x:c r="A40" s="326" t="str">
        <x:f>IF($E40="","",COUNTA($E$19:E40))</x:f>
      </x:c>
      <x:c r="B40" s="327"/>
      <x:c r="C40" s="327"/>
      <x:c r="D40" s="327"/>
      <x:c r="E40" s="328"/>
      <x:c r="F40" s="328"/>
      <x:c r="G40" s="328"/>
      <x:c r="H40" s="328"/>
      <x:c r="I40" s="329"/>
      <x:c r="J40" s="329"/>
      <x:c r="K40" s="327"/>
      <x:c r="L40" s="330" t="str">
        <x:f>IF($K40="O", "●", "")</x:f>
      </x:c>
      <x:c r="M40" s="331" t="str">
        <x:f>IF($K40="T", "➜", "")</x:f>
      </x:c>
      <x:c r="N40" s="332" t="str">
        <x:f>IF($K40="I", "■", "")</x:f>
      </x:c>
      <x:c r="O40" s="333" t="str">
        <x:f>IF($K40="E", "D", "")</x:f>
      </x:c>
      <x:c r="P40" s="334" t="str">
        <x:f>IF($K40="A", "▼", "")</x:f>
      </x:c>
      <x:c r="Q40" s="335"/>
      <x:c r="R40" s="335"/>
      <x:c r="S40" s="335"/>
      <x:c r="T40" s="335"/>
      <x:c r="U40" s="336" t="str">
        <x:f>IF(OR($B40="",$E40="",$K40="",AND($K40&lt;&gt;"A",$J40="")),"",IF(OR(AND($Q40&lt;&gt;"",COUNTIF($B$19:$B39,$Q40)=0),AND($R40&lt;&gt;"",COUNTIF($B$19:$B39,$R40)=0),AND($S40&lt;&gt;"",COUNTIF($B$19:$B39,$S40)=0),AND($T40&lt;&gt;"",COUNTIF($B$19:$B39,$T40)=0)),"REVISAR",MAX(IFERROR(INDEX($V$19:$V39,MATCH($Q40,$B$19:$B39,0)),0),IFERROR(INDEX($V$19:$V39,MATCH($R40,$B$19:$B39,0)),0),IFERROR(INDEX($V$19:$V39,MATCH($S40,$B$19:$B39,0)),0),IFERROR(INDEX($V$19:$V39,MATCH($T40,$B$19:$B39,0)),0))))</x:f>
      </x:c>
      <x:c r="V40" s="336" t="str">
        <x:f>IF(ISNUMBER($U40),$U40+IF($J40="",0,$J40),"")</x:f>
      </x:c>
      <x:c r="W40" s="337"/>
      <x:c r="X40" s="338" t="str">
        <x:f>IF(COUNTA($B40:$K40)+COUNTA($Q40:$T40)+COUNTA($W40)=0,"",IF($B40="","FALTA ID",IF(COUNTIF($B$19:$B$118,$B40)&gt;1,"ID REPETIDO",IF($E40="","FALTA DESCRIPCIÓN",IF($K40="","FALTA TIPO",IF(AND($K40&lt;&gt;"A",$J40=""),"FALTA TIEMPO",IF(AND($K40="T",OR($G40="",$H40="",$I40="")),"REVISAR TRANSPORTE",IF($U40="REVISAR","REVISAR PRECEDENCIA","OK"))))))))</x:f>
      </x:c>
    </x:row>
    <x:row r="41" ht="24" customHeight="1">
      <x:c r="A41" s="326" t="str">
        <x:f>IF($E41="","",COUNTA($E$19:E41))</x:f>
      </x:c>
      <x:c r="B41" s="327"/>
      <x:c r="C41" s="327"/>
      <x:c r="D41" s="327"/>
      <x:c r="E41" s="328"/>
      <x:c r="F41" s="328"/>
      <x:c r="G41" s="328"/>
      <x:c r="H41" s="328"/>
      <x:c r="I41" s="329"/>
      <x:c r="J41" s="329"/>
      <x:c r="K41" s="327"/>
      <x:c r="L41" s="330" t="str">
        <x:f>IF($K41="O", "●", "")</x:f>
      </x:c>
      <x:c r="M41" s="331" t="str">
        <x:f>IF($K41="T", "➜", "")</x:f>
      </x:c>
      <x:c r="N41" s="332" t="str">
        <x:f>IF($K41="I", "■", "")</x:f>
      </x:c>
      <x:c r="O41" s="333" t="str">
        <x:f>IF($K41="E", "D", "")</x:f>
      </x:c>
      <x:c r="P41" s="334" t="str">
        <x:f>IF($K41="A", "▼", "")</x:f>
      </x:c>
      <x:c r="Q41" s="335"/>
      <x:c r="R41" s="335"/>
      <x:c r="S41" s="335"/>
      <x:c r="T41" s="335"/>
      <x:c r="U41" s="336" t="str">
        <x:f>IF(OR($B41="",$E41="",$K41="",AND($K41&lt;&gt;"A",$J41="")),"",IF(OR(AND($Q41&lt;&gt;"",COUNTIF($B$19:$B40,$Q41)=0),AND($R41&lt;&gt;"",COUNTIF($B$19:$B40,$R41)=0),AND($S41&lt;&gt;"",COUNTIF($B$19:$B40,$S41)=0),AND($T41&lt;&gt;"",COUNTIF($B$19:$B40,$T41)=0)),"REVISAR",MAX(IFERROR(INDEX($V$19:$V40,MATCH($Q41,$B$19:$B40,0)),0),IFERROR(INDEX($V$19:$V40,MATCH($R41,$B$19:$B40,0)),0),IFERROR(INDEX($V$19:$V40,MATCH($S41,$B$19:$B40,0)),0),IFERROR(INDEX($V$19:$V40,MATCH($T41,$B$19:$B40,0)),0))))</x:f>
      </x:c>
      <x:c r="V41" s="336" t="str">
        <x:f>IF(ISNUMBER($U41),$U41+IF($J41="",0,$J41),"")</x:f>
      </x:c>
      <x:c r="W41" s="337"/>
      <x:c r="X41" s="338" t="str">
        <x:f>IF(COUNTA($B41:$K41)+COUNTA($Q41:$T41)+COUNTA($W41)=0,"",IF($B41="","FALTA ID",IF(COUNTIF($B$19:$B$118,$B41)&gt;1,"ID REPETIDO",IF($E41="","FALTA DESCRIPCIÓN",IF($K41="","FALTA TIPO",IF(AND($K41&lt;&gt;"A",$J41=""),"FALTA TIEMPO",IF(AND($K41="T",OR($G41="",$H41="",$I41="")),"REVISAR TRANSPORTE",IF($U41="REVISAR","REVISAR PRECEDENCIA","OK"))))))))</x:f>
      </x:c>
    </x:row>
    <x:row r="42" ht="24" customHeight="1">
      <x:c r="A42" s="326" t="str">
        <x:f>IF($E42="","",COUNTA($E$19:E42))</x:f>
      </x:c>
      <x:c r="B42" s="327"/>
      <x:c r="C42" s="327"/>
      <x:c r="D42" s="327"/>
      <x:c r="E42" s="328"/>
      <x:c r="F42" s="328"/>
      <x:c r="G42" s="328"/>
      <x:c r="H42" s="328"/>
      <x:c r="I42" s="329"/>
      <x:c r="J42" s="329"/>
      <x:c r="K42" s="327"/>
      <x:c r="L42" s="330" t="str">
        <x:f>IF($K42="O", "●", "")</x:f>
      </x:c>
      <x:c r="M42" s="331" t="str">
        <x:f>IF($K42="T", "➜", "")</x:f>
      </x:c>
      <x:c r="N42" s="332" t="str">
        <x:f>IF($K42="I", "■", "")</x:f>
      </x:c>
      <x:c r="O42" s="333" t="str">
        <x:f>IF($K42="E", "D", "")</x:f>
      </x:c>
      <x:c r="P42" s="334" t="str">
        <x:f>IF($K42="A", "▼", "")</x:f>
      </x:c>
      <x:c r="Q42" s="335"/>
      <x:c r="R42" s="335"/>
      <x:c r="S42" s="335"/>
      <x:c r="T42" s="335"/>
      <x:c r="U42" s="336" t="str">
        <x:f>IF(OR($B42="",$E42="",$K42="",AND($K42&lt;&gt;"A",$J42="")),"",IF(OR(AND($Q42&lt;&gt;"",COUNTIF($B$19:$B41,$Q42)=0),AND($R42&lt;&gt;"",COUNTIF($B$19:$B41,$R42)=0),AND($S42&lt;&gt;"",COUNTIF($B$19:$B41,$S42)=0),AND($T42&lt;&gt;"",COUNTIF($B$19:$B41,$T42)=0)),"REVISAR",MAX(IFERROR(INDEX($V$19:$V41,MATCH($Q42,$B$19:$B41,0)),0),IFERROR(INDEX($V$19:$V41,MATCH($R42,$B$19:$B41,0)),0),IFERROR(INDEX($V$19:$V41,MATCH($S42,$B$19:$B41,0)),0),IFERROR(INDEX($V$19:$V41,MATCH($T42,$B$19:$B41,0)),0))))</x:f>
      </x:c>
      <x:c r="V42" s="336" t="str">
        <x:f>IF(ISNUMBER($U42),$U42+IF($J42="",0,$J42),"")</x:f>
      </x:c>
      <x:c r="W42" s="337"/>
      <x:c r="X42" s="338" t="str">
        <x:f>IF(COUNTA($B42:$K42)+COUNTA($Q42:$T42)+COUNTA($W42)=0,"",IF($B42="","FALTA ID",IF(COUNTIF($B$19:$B$118,$B42)&gt;1,"ID REPETIDO",IF($E42="","FALTA DESCRIPCIÓN",IF($K42="","FALTA TIPO",IF(AND($K42&lt;&gt;"A",$J42=""),"FALTA TIEMPO",IF(AND($K42="T",OR($G42="",$H42="",$I42="")),"REVISAR TRANSPORTE",IF($U42="REVISAR","REVISAR PRECEDENCIA","OK"))))))))</x:f>
      </x:c>
    </x:row>
    <x:row r="43" ht="24" customHeight="1">
      <x:c r="A43" s="326" t="str">
        <x:f>IF($E43="","",COUNTA($E$19:E43))</x:f>
      </x:c>
      <x:c r="B43" s="327"/>
      <x:c r="C43" s="327"/>
      <x:c r="D43" s="327"/>
      <x:c r="E43" s="328"/>
      <x:c r="F43" s="328"/>
      <x:c r="G43" s="328"/>
      <x:c r="H43" s="328"/>
      <x:c r="I43" s="329"/>
      <x:c r="J43" s="329"/>
      <x:c r="K43" s="327"/>
      <x:c r="L43" s="330" t="str">
        <x:f>IF($K43="O", "●", "")</x:f>
      </x:c>
      <x:c r="M43" s="331" t="str">
        <x:f>IF($K43="T", "➜", "")</x:f>
      </x:c>
      <x:c r="N43" s="332" t="str">
        <x:f>IF($K43="I", "■", "")</x:f>
      </x:c>
      <x:c r="O43" s="333" t="str">
        <x:f>IF($K43="E", "D", "")</x:f>
      </x:c>
      <x:c r="P43" s="334" t="str">
        <x:f>IF($K43="A", "▼", "")</x:f>
      </x:c>
      <x:c r="Q43" s="335"/>
      <x:c r="R43" s="335"/>
      <x:c r="S43" s="335"/>
      <x:c r="T43" s="335"/>
      <x:c r="U43" s="336" t="str">
        <x:f>IF(OR($B43="",$E43="",$K43="",AND($K43&lt;&gt;"A",$J43="")),"",IF(OR(AND($Q43&lt;&gt;"",COUNTIF($B$19:$B42,$Q43)=0),AND($R43&lt;&gt;"",COUNTIF($B$19:$B42,$R43)=0),AND($S43&lt;&gt;"",COUNTIF($B$19:$B42,$S43)=0),AND($T43&lt;&gt;"",COUNTIF($B$19:$B42,$T43)=0)),"REVISAR",MAX(IFERROR(INDEX($V$19:$V42,MATCH($Q43,$B$19:$B42,0)),0),IFERROR(INDEX($V$19:$V42,MATCH($R43,$B$19:$B42,0)),0),IFERROR(INDEX($V$19:$V42,MATCH($S43,$B$19:$B42,0)),0),IFERROR(INDEX($V$19:$V42,MATCH($T43,$B$19:$B42,0)),0))))</x:f>
      </x:c>
      <x:c r="V43" s="336" t="str">
        <x:f>IF(ISNUMBER($U43),$U43+IF($J43="",0,$J43),"")</x:f>
      </x:c>
      <x:c r="W43" s="337"/>
      <x:c r="X43" s="338" t="str">
        <x:f>IF(COUNTA($B43:$K43)+COUNTA($Q43:$T43)+COUNTA($W43)=0,"",IF($B43="","FALTA ID",IF(COUNTIF($B$19:$B$118,$B43)&gt;1,"ID REPETIDO",IF($E43="","FALTA DESCRIPCIÓN",IF($K43="","FALTA TIPO",IF(AND($K43&lt;&gt;"A",$J43=""),"FALTA TIEMPO",IF(AND($K43="T",OR($G43="",$H43="",$I43="")),"REVISAR TRANSPORTE",IF($U43="REVISAR","REVISAR PRECEDENCIA","OK"))))))))</x:f>
      </x:c>
    </x:row>
    <x:row r="44" ht="24" customHeight="1">
      <x:c r="A44" s="326" t="str">
        <x:f>IF($E44="","",COUNTA($E$19:E44))</x:f>
      </x:c>
      <x:c r="B44" s="327"/>
      <x:c r="C44" s="327"/>
      <x:c r="D44" s="327"/>
      <x:c r="E44" s="328"/>
      <x:c r="F44" s="328"/>
      <x:c r="G44" s="328"/>
      <x:c r="H44" s="328"/>
      <x:c r="I44" s="329"/>
      <x:c r="J44" s="329"/>
      <x:c r="K44" s="327"/>
      <x:c r="L44" s="330" t="str">
        <x:f>IF($K44="O", "●", "")</x:f>
      </x:c>
      <x:c r="M44" s="331" t="str">
        <x:f>IF($K44="T", "➜", "")</x:f>
      </x:c>
      <x:c r="N44" s="332" t="str">
        <x:f>IF($K44="I", "■", "")</x:f>
      </x:c>
      <x:c r="O44" s="333" t="str">
        <x:f>IF($K44="E", "D", "")</x:f>
      </x:c>
      <x:c r="P44" s="334" t="str">
        <x:f>IF($K44="A", "▼", "")</x:f>
      </x:c>
      <x:c r="Q44" s="335"/>
      <x:c r="R44" s="335"/>
      <x:c r="S44" s="335"/>
      <x:c r="T44" s="335"/>
      <x:c r="U44" s="336" t="str">
        <x:f>IF(OR($B44="",$E44="",$K44="",AND($K44&lt;&gt;"A",$J44="")),"",IF(OR(AND($Q44&lt;&gt;"",COUNTIF($B$19:$B43,$Q44)=0),AND($R44&lt;&gt;"",COUNTIF($B$19:$B43,$R44)=0),AND($S44&lt;&gt;"",COUNTIF($B$19:$B43,$S44)=0),AND($T44&lt;&gt;"",COUNTIF($B$19:$B43,$T44)=0)),"REVISAR",MAX(IFERROR(INDEX($V$19:$V43,MATCH($Q44,$B$19:$B43,0)),0),IFERROR(INDEX($V$19:$V43,MATCH($R44,$B$19:$B43,0)),0),IFERROR(INDEX($V$19:$V43,MATCH($S44,$B$19:$B43,0)),0),IFERROR(INDEX($V$19:$V43,MATCH($T44,$B$19:$B43,0)),0))))</x:f>
      </x:c>
      <x:c r="V44" s="336" t="str">
        <x:f>IF(ISNUMBER($U44),$U44+IF($J44="",0,$J44),"")</x:f>
      </x:c>
      <x:c r="W44" s="337"/>
      <x:c r="X44" s="338" t="str">
        <x:f>IF(COUNTA($B44:$K44)+COUNTA($Q44:$T44)+COUNTA($W44)=0,"",IF($B44="","FALTA ID",IF(COUNTIF($B$19:$B$118,$B44)&gt;1,"ID REPETIDO",IF($E44="","FALTA DESCRIPCIÓN",IF($K44="","FALTA TIPO",IF(AND($K44&lt;&gt;"A",$J44=""),"FALTA TIEMPO",IF(AND($K44="T",OR($G44="",$H44="",$I44="")),"REVISAR TRANSPORTE",IF($U44="REVISAR","REVISAR PRECEDENCIA","OK"))))))))</x:f>
      </x:c>
    </x:row>
    <x:row r="45" ht="24" customHeight="1">
      <x:c r="A45" s="326" t="str">
        <x:f>IF($E45="","",COUNTA($E$19:E45))</x:f>
      </x:c>
      <x:c r="B45" s="327"/>
      <x:c r="C45" s="327"/>
      <x:c r="D45" s="327"/>
      <x:c r="E45" s="328"/>
      <x:c r="F45" s="328"/>
      <x:c r="G45" s="328"/>
      <x:c r="H45" s="328"/>
      <x:c r="I45" s="329"/>
      <x:c r="J45" s="329"/>
      <x:c r="K45" s="327"/>
      <x:c r="L45" s="330" t="str">
        <x:f>IF($K45="O", "●", "")</x:f>
      </x:c>
      <x:c r="M45" s="331" t="str">
        <x:f>IF($K45="T", "➜", "")</x:f>
      </x:c>
      <x:c r="N45" s="332" t="str">
        <x:f>IF($K45="I", "■", "")</x:f>
      </x:c>
      <x:c r="O45" s="333" t="str">
        <x:f>IF($K45="E", "D", "")</x:f>
      </x:c>
      <x:c r="P45" s="334" t="str">
        <x:f>IF($K45="A", "▼", "")</x:f>
      </x:c>
      <x:c r="Q45" s="335"/>
      <x:c r="R45" s="335"/>
      <x:c r="S45" s="335"/>
      <x:c r="T45" s="335"/>
      <x:c r="U45" s="336" t="str">
        <x:f>IF(OR($B45="",$E45="",$K45="",AND($K45&lt;&gt;"A",$J45="")),"",IF(OR(AND($Q45&lt;&gt;"",COUNTIF($B$19:$B44,$Q45)=0),AND($R45&lt;&gt;"",COUNTIF($B$19:$B44,$R45)=0),AND($S45&lt;&gt;"",COUNTIF($B$19:$B44,$S45)=0),AND($T45&lt;&gt;"",COUNTIF($B$19:$B44,$T45)=0)),"REVISAR",MAX(IFERROR(INDEX($V$19:$V44,MATCH($Q45,$B$19:$B44,0)),0),IFERROR(INDEX($V$19:$V44,MATCH($R45,$B$19:$B44,0)),0),IFERROR(INDEX($V$19:$V44,MATCH($S45,$B$19:$B44,0)),0),IFERROR(INDEX($V$19:$V44,MATCH($T45,$B$19:$B44,0)),0))))</x:f>
      </x:c>
      <x:c r="V45" s="336" t="str">
        <x:f>IF(ISNUMBER($U45),$U45+IF($J45="",0,$J45),"")</x:f>
      </x:c>
      <x:c r="W45" s="337"/>
      <x:c r="X45" s="338" t="str">
        <x:f>IF(COUNTA($B45:$K45)+COUNTA($Q45:$T45)+COUNTA($W45)=0,"",IF($B45="","FALTA ID",IF(COUNTIF($B$19:$B$118,$B45)&gt;1,"ID REPETIDO",IF($E45="","FALTA DESCRIPCIÓN",IF($K45="","FALTA TIPO",IF(AND($K45&lt;&gt;"A",$J45=""),"FALTA TIEMPO",IF(AND($K45="T",OR($G45="",$H45="",$I45="")),"REVISAR TRANSPORTE",IF($U45="REVISAR","REVISAR PRECEDENCIA","OK"))))))))</x:f>
      </x:c>
    </x:row>
    <x:row r="46" ht="24" customHeight="1">
      <x:c r="A46" s="326" t="str">
        <x:f>IF($E46="","",COUNTA($E$19:E46))</x:f>
      </x:c>
      <x:c r="B46" s="327"/>
      <x:c r="C46" s="327"/>
      <x:c r="D46" s="327"/>
      <x:c r="E46" s="328"/>
      <x:c r="F46" s="328"/>
      <x:c r="G46" s="328"/>
      <x:c r="H46" s="328"/>
      <x:c r="I46" s="329"/>
      <x:c r="J46" s="329"/>
      <x:c r="K46" s="327"/>
      <x:c r="L46" s="330" t="str">
        <x:f>IF($K46="O", "●", "")</x:f>
      </x:c>
      <x:c r="M46" s="331" t="str">
        <x:f>IF($K46="T", "➜", "")</x:f>
      </x:c>
      <x:c r="N46" s="332" t="str">
        <x:f>IF($K46="I", "■", "")</x:f>
      </x:c>
      <x:c r="O46" s="333" t="str">
        <x:f>IF($K46="E", "D", "")</x:f>
      </x:c>
      <x:c r="P46" s="334" t="str">
        <x:f>IF($K46="A", "▼", "")</x:f>
      </x:c>
      <x:c r="Q46" s="335"/>
      <x:c r="R46" s="335"/>
      <x:c r="S46" s="335"/>
      <x:c r="T46" s="335"/>
      <x:c r="U46" s="336" t="str">
        <x:f>IF(OR($B46="",$E46="",$K46="",AND($K46&lt;&gt;"A",$J46="")),"",IF(OR(AND($Q46&lt;&gt;"",COUNTIF($B$19:$B45,$Q46)=0),AND($R46&lt;&gt;"",COUNTIF($B$19:$B45,$R46)=0),AND($S46&lt;&gt;"",COUNTIF($B$19:$B45,$S46)=0),AND($T46&lt;&gt;"",COUNTIF($B$19:$B45,$T46)=0)),"REVISAR",MAX(IFERROR(INDEX($V$19:$V45,MATCH($Q46,$B$19:$B45,0)),0),IFERROR(INDEX($V$19:$V45,MATCH($R46,$B$19:$B45,0)),0),IFERROR(INDEX($V$19:$V45,MATCH($S46,$B$19:$B45,0)),0),IFERROR(INDEX($V$19:$V45,MATCH($T46,$B$19:$B45,0)),0))))</x:f>
      </x:c>
      <x:c r="V46" s="336" t="str">
        <x:f>IF(ISNUMBER($U46),$U46+IF($J46="",0,$J46),"")</x:f>
      </x:c>
      <x:c r="W46" s="337"/>
      <x:c r="X46" s="338" t="str">
        <x:f>IF(COUNTA($B46:$K46)+COUNTA($Q46:$T46)+COUNTA($W46)=0,"",IF($B46="","FALTA ID",IF(COUNTIF($B$19:$B$118,$B46)&gt;1,"ID REPETIDO",IF($E46="","FALTA DESCRIPCIÓN",IF($K46="","FALTA TIPO",IF(AND($K46&lt;&gt;"A",$J46=""),"FALTA TIEMPO",IF(AND($K46="T",OR($G46="",$H46="",$I46="")),"REVISAR TRANSPORTE",IF($U46="REVISAR","REVISAR PRECEDENCIA","OK"))))))))</x:f>
      </x:c>
    </x:row>
    <x:row r="47" ht="24" customHeight="1">
      <x:c r="A47" s="326" t="str">
        <x:f>IF($E47="","",COUNTA($E$19:E47))</x:f>
      </x:c>
      <x:c r="B47" s="327"/>
      <x:c r="C47" s="327"/>
      <x:c r="D47" s="327"/>
      <x:c r="E47" s="328"/>
      <x:c r="F47" s="328"/>
      <x:c r="G47" s="328"/>
      <x:c r="H47" s="328"/>
      <x:c r="I47" s="329"/>
      <x:c r="J47" s="329"/>
      <x:c r="K47" s="327"/>
      <x:c r="L47" s="330" t="str">
        <x:f>IF($K47="O", "●", "")</x:f>
      </x:c>
      <x:c r="M47" s="331" t="str">
        <x:f>IF($K47="T", "➜", "")</x:f>
      </x:c>
      <x:c r="N47" s="332" t="str">
        <x:f>IF($K47="I", "■", "")</x:f>
      </x:c>
      <x:c r="O47" s="333" t="str">
        <x:f>IF($K47="E", "D", "")</x:f>
      </x:c>
      <x:c r="P47" s="334" t="str">
        <x:f>IF($K47="A", "▼", "")</x:f>
      </x:c>
      <x:c r="Q47" s="335"/>
      <x:c r="R47" s="335"/>
      <x:c r="S47" s="335"/>
      <x:c r="T47" s="335"/>
      <x:c r="U47" s="336" t="str">
        <x:f>IF(OR($B47="",$E47="",$K47="",AND($K47&lt;&gt;"A",$J47="")),"",IF(OR(AND($Q47&lt;&gt;"",COUNTIF($B$19:$B46,$Q47)=0),AND($R47&lt;&gt;"",COUNTIF($B$19:$B46,$R47)=0),AND($S47&lt;&gt;"",COUNTIF($B$19:$B46,$S47)=0),AND($T47&lt;&gt;"",COUNTIF($B$19:$B46,$T47)=0)),"REVISAR",MAX(IFERROR(INDEX($V$19:$V46,MATCH($Q47,$B$19:$B46,0)),0),IFERROR(INDEX($V$19:$V46,MATCH($R47,$B$19:$B46,0)),0),IFERROR(INDEX($V$19:$V46,MATCH($S47,$B$19:$B46,0)),0),IFERROR(INDEX($V$19:$V46,MATCH($T47,$B$19:$B46,0)),0))))</x:f>
      </x:c>
      <x:c r="V47" s="336" t="str">
        <x:f>IF(ISNUMBER($U47),$U47+IF($J47="",0,$J47),"")</x:f>
      </x:c>
      <x:c r="W47" s="337"/>
      <x:c r="X47" s="338" t="str">
        <x:f>IF(COUNTA($B47:$K47)+COUNTA($Q47:$T47)+COUNTA($W47)=0,"",IF($B47="","FALTA ID",IF(COUNTIF($B$19:$B$118,$B47)&gt;1,"ID REPETIDO",IF($E47="","FALTA DESCRIPCIÓN",IF($K47="","FALTA TIPO",IF(AND($K47&lt;&gt;"A",$J47=""),"FALTA TIEMPO",IF(AND($K47="T",OR($G47="",$H47="",$I47="")),"REVISAR TRANSPORTE",IF($U47="REVISAR","REVISAR PRECEDENCIA","OK"))))))))</x:f>
      </x:c>
    </x:row>
    <x:row r="48" ht="24" customHeight="1">
      <x:c r="A48" s="326" t="str">
        <x:f>IF($E48="","",COUNTA($E$19:E48))</x:f>
      </x:c>
      <x:c r="B48" s="327"/>
      <x:c r="C48" s="327"/>
      <x:c r="D48" s="327"/>
      <x:c r="E48" s="328"/>
      <x:c r="F48" s="328"/>
      <x:c r="G48" s="328"/>
      <x:c r="H48" s="328"/>
      <x:c r="I48" s="329"/>
      <x:c r="J48" s="329"/>
      <x:c r="K48" s="327"/>
      <x:c r="L48" s="330" t="str">
        <x:f>IF($K48="O", "●", "")</x:f>
      </x:c>
      <x:c r="M48" s="331" t="str">
        <x:f>IF($K48="T", "➜", "")</x:f>
      </x:c>
      <x:c r="N48" s="332" t="str">
        <x:f>IF($K48="I", "■", "")</x:f>
      </x:c>
      <x:c r="O48" s="333" t="str">
        <x:f>IF($K48="E", "D", "")</x:f>
      </x:c>
      <x:c r="P48" s="334" t="str">
        <x:f>IF($K48="A", "▼", "")</x:f>
      </x:c>
      <x:c r="Q48" s="335"/>
      <x:c r="R48" s="335"/>
      <x:c r="S48" s="335"/>
      <x:c r="T48" s="335"/>
      <x:c r="U48" s="336" t="str">
        <x:f>IF(OR($B48="",$E48="",$K48="",AND($K48&lt;&gt;"A",$J48="")),"",IF(OR(AND($Q48&lt;&gt;"",COUNTIF($B$19:$B47,$Q48)=0),AND($R48&lt;&gt;"",COUNTIF($B$19:$B47,$R48)=0),AND($S48&lt;&gt;"",COUNTIF($B$19:$B47,$S48)=0),AND($T48&lt;&gt;"",COUNTIF($B$19:$B47,$T48)=0)),"REVISAR",MAX(IFERROR(INDEX($V$19:$V47,MATCH($Q48,$B$19:$B47,0)),0),IFERROR(INDEX($V$19:$V47,MATCH($R48,$B$19:$B47,0)),0),IFERROR(INDEX($V$19:$V47,MATCH($S48,$B$19:$B47,0)),0),IFERROR(INDEX($V$19:$V47,MATCH($T48,$B$19:$B47,0)),0))))</x:f>
      </x:c>
      <x:c r="V48" s="336" t="str">
        <x:f>IF(ISNUMBER($U48),$U48+IF($J48="",0,$J48),"")</x:f>
      </x:c>
      <x:c r="W48" s="337"/>
      <x:c r="X48" s="338" t="str">
        <x:f>IF(COUNTA($B48:$K48)+COUNTA($Q48:$T48)+COUNTA($W48)=0,"",IF($B48="","FALTA ID",IF(COUNTIF($B$19:$B$118,$B48)&gt;1,"ID REPETIDO",IF($E48="","FALTA DESCRIPCIÓN",IF($K48="","FALTA TIPO",IF(AND($K48&lt;&gt;"A",$J48=""),"FALTA TIEMPO",IF(AND($K48="T",OR($G48="",$H48="",$I48="")),"REVISAR TRANSPORTE",IF($U48="REVISAR","REVISAR PRECEDENCIA","OK"))))))))</x:f>
      </x:c>
    </x:row>
    <x:row r="49" ht="24" customHeight="1">
      <x:c r="A49" s="326" t="str">
        <x:f>IF($E49="","",COUNTA($E$19:E49))</x:f>
      </x:c>
      <x:c r="B49" s="327"/>
      <x:c r="C49" s="327"/>
      <x:c r="D49" s="327"/>
      <x:c r="E49" s="328"/>
      <x:c r="F49" s="328"/>
      <x:c r="G49" s="328"/>
      <x:c r="H49" s="328"/>
      <x:c r="I49" s="329"/>
      <x:c r="J49" s="329"/>
      <x:c r="K49" s="327"/>
      <x:c r="L49" s="330" t="str">
        <x:f>IF($K49="O", "●", "")</x:f>
      </x:c>
      <x:c r="M49" s="331" t="str">
        <x:f>IF($K49="T", "➜", "")</x:f>
      </x:c>
      <x:c r="N49" s="332" t="str">
        <x:f>IF($K49="I", "■", "")</x:f>
      </x:c>
      <x:c r="O49" s="333" t="str">
        <x:f>IF($K49="E", "D", "")</x:f>
      </x:c>
      <x:c r="P49" s="334" t="str">
        <x:f>IF($K49="A", "▼", "")</x:f>
      </x:c>
      <x:c r="Q49" s="335"/>
      <x:c r="R49" s="335"/>
      <x:c r="S49" s="335"/>
      <x:c r="T49" s="335"/>
      <x:c r="U49" s="336" t="str">
        <x:f>IF(OR($B49="",$E49="",$K49="",AND($K49&lt;&gt;"A",$J49="")),"",IF(OR(AND($Q49&lt;&gt;"",COUNTIF($B$19:$B48,$Q49)=0),AND($R49&lt;&gt;"",COUNTIF($B$19:$B48,$R49)=0),AND($S49&lt;&gt;"",COUNTIF($B$19:$B48,$S49)=0),AND($T49&lt;&gt;"",COUNTIF($B$19:$B48,$T49)=0)),"REVISAR",MAX(IFERROR(INDEX($V$19:$V48,MATCH($Q49,$B$19:$B48,0)),0),IFERROR(INDEX($V$19:$V48,MATCH($R49,$B$19:$B48,0)),0),IFERROR(INDEX($V$19:$V48,MATCH($S49,$B$19:$B48,0)),0),IFERROR(INDEX($V$19:$V48,MATCH($T49,$B$19:$B48,0)),0))))</x:f>
      </x:c>
      <x:c r="V49" s="336" t="str">
        <x:f>IF(ISNUMBER($U49),$U49+IF($J49="",0,$J49),"")</x:f>
      </x:c>
      <x:c r="W49" s="337"/>
      <x:c r="X49" s="338" t="str">
        <x:f>IF(COUNTA($B49:$K49)+COUNTA($Q49:$T49)+COUNTA($W49)=0,"",IF($B49="","FALTA ID",IF(COUNTIF($B$19:$B$118,$B49)&gt;1,"ID REPETIDO",IF($E49="","FALTA DESCRIPCIÓN",IF($K49="","FALTA TIPO",IF(AND($K49&lt;&gt;"A",$J49=""),"FALTA TIEMPO",IF(AND($K49="T",OR($G49="",$H49="",$I49="")),"REVISAR TRANSPORTE",IF($U49="REVISAR","REVISAR PRECEDENCIA","OK"))))))))</x:f>
      </x:c>
    </x:row>
    <x:row r="50" ht="24" customHeight="1">
      <x:c r="A50" s="326" t="str">
        <x:f>IF($E50="","",COUNTA($E$19:E50))</x:f>
      </x:c>
      <x:c r="B50" s="327"/>
      <x:c r="C50" s="327"/>
      <x:c r="D50" s="327"/>
      <x:c r="E50" s="328"/>
      <x:c r="F50" s="328"/>
      <x:c r="G50" s="328"/>
      <x:c r="H50" s="328"/>
      <x:c r="I50" s="329"/>
      <x:c r="J50" s="329"/>
      <x:c r="K50" s="327"/>
      <x:c r="L50" s="330" t="str">
        <x:f>IF($K50="O", "●", "")</x:f>
      </x:c>
      <x:c r="M50" s="331" t="str">
        <x:f>IF($K50="T", "➜", "")</x:f>
      </x:c>
      <x:c r="N50" s="332" t="str">
        <x:f>IF($K50="I", "■", "")</x:f>
      </x:c>
      <x:c r="O50" s="333" t="str">
        <x:f>IF($K50="E", "D", "")</x:f>
      </x:c>
      <x:c r="P50" s="334" t="str">
        <x:f>IF($K50="A", "▼", "")</x:f>
      </x:c>
      <x:c r="Q50" s="335"/>
      <x:c r="R50" s="335"/>
      <x:c r="S50" s="335"/>
      <x:c r="T50" s="335"/>
      <x:c r="U50" s="336" t="str">
        <x:f>IF(OR($B50="",$E50="",$K50="",AND($K50&lt;&gt;"A",$J50="")),"",IF(OR(AND($Q50&lt;&gt;"",COUNTIF($B$19:$B49,$Q50)=0),AND($R50&lt;&gt;"",COUNTIF($B$19:$B49,$R50)=0),AND($S50&lt;&gt;"",COUNTIF($B$19:$B49,$S50)=0),AND($T50&lt;&gt;"",COUNTIF($B$19:$B49,$T50)=0)),"REVISAR",MAX(IFERROR(INDEX($V$19:$V49,MATCH($Q50,$B$19:$B49,0)),0),IFERROR(INDEX($V$19:$V49,MATCH($R50,$B$19:$B49,0)),0),IFERROR(INDEX($V$19:$V49,MATCH($S50,$B$19:$B49,0)),0),IFERROR(INDEX($V$19:$V49,MATCH($T50,$B$19:$B49,0)),0))))</x:f>
      </x:c>
      <x:c r="V50" s="336" t="str">
        <x:f>IF(ISNUMBER($U50),$U50+IF($J50="",0,$J50),"")</x:f>
      </x:c>
      <x:c r="W50" s="337"/>
      <x:c r="X50" s="338" t="str">
        <x:f>IF(COUNTA($B50:$K50)+COUNTA($Q50:$T50)+COUNTA($W50)=0,"",IF($B50="","FALTA ID",IF(COUNTIF($B$19:$B$118,$B50)&gt;1,"ID REPETIDO",IF($E50="","FALTA DESCRIPCIÓN",IF($K50="","FALTA TIPO",IF(AND($K50&lt;&gt;"A",$J50=""),"FALTA TIEMPO",IF(AND($K50="T",OR($G50="",$H50="",$I50="")),"REVISAR TRANSPORTE",IF($U50="REVISAR","REVISAR PRECEDENCIA","OK"))))))))</x:f>
      </x:c>
    </x:row>
    <x:row r="51" ht="24" customHeight="1">
      <x:c r="A51" s="326" t="str">
        <x:f>IF($E51="","",COUNTA($E$19:E51))</x:f>
      </x:c>
      <x:c r="B51" s="327"/>
      <x:c r="C51" s="327"/>
      <x:c r="D51" s="327"/>
      <x:c r="E51" s="328"/>
      <x:c r="F51" s="328"/>
      <x:c r="G51" s="328"/>
      <x:c r="H51" s="328"/>
      <x:c r="I51" s="329"/>
      <x:c r="J51" s="329"/>
      <x:c r="K51" s="327"/>
      <x:c r="L51" s="330" t="str">
        <x:f>IF($K51="O", "●", "")</x:f>
      </x:c>
      <x:c r="M51" s="331" t="str">
        <x:f>IF($K51="T", "➜", "")</x:f>
      </x:c>
      <x:c r="N51" s="332" t="str">
        <x:f>IF($K51="I", "■", "")</x:f>
      </x:c>
      <x:c r="O51" s="333" t="str">
        <x:f>IF($K51="E", "D", "")</x:f>
      </x:c>
      <x:c r="P51" s="334" t="str">
        <x:f>IF($K51="A", "▼", "")</x:f>
      </x:c>
      <x:c r="Q51" s="335"/>
      <x:c r="R51" s="335"/>
      <x:c r="S51" s="335"/>
      <x:c r="T51" s="335"/>
      <x:c r="U51" s="336" t="str">
        <x:f>IF(OR($B51="",$E51="",$K51="",AND($K51&lt;&gt;"A",$J51="")),"",IF(OR(AND($Q51&lt;&gt;"",COUNTIF($B$19:$B50,$Q51)=0),AND($R51&lt;&gt;"",COUNTIF($B$19:$B50,$R51)=0),AND($S51&lt;&gt;"",COUNTIF($B$19:$B50,$S51)=0),AND($T51&lt;&gt;"",COUNTIF($B$19:$B50,$T51)=0)),"REVISAR",MAX(IFERROR(INDEX($V$19:$V50,MATCH($Q51,$B$19:$B50,0)),0),IFERROR(INDEX($V$19:$V50,MATCH($R51,$B$19:$B50,0)),0),IFERROR(INDEX($V$19:$V50,MATCH($S51,$B$19:$B50,0)),0),IFERROR(INDEX($V$19:$V50,MATCH($T51,$B$19:$B50,0)),0))))</x:f>
      </x:c>
      <x:c r="V51" s="336" t="str">
        <x:f>IF(ISNUMBER($U51),$U51+IF($J51="",0,$J51),"")</x:f>
      </x:c>
      <x:c r="W51" s="337"/>
      <x:c r="X51" s="338" t="str">
        <x:f>IF(COUNTA($B51:$K51)+COUNTA($Q51:$T51)+COUNTA($W51)=0,"",IF($B51="","FALTA ID",IF(COUNTIF($B$19:$B$118,$B51)&gt;1,"ID REPETIDO",IF($E51="","FALTA DESCRIPCIÓN",IF($K51="","FALTA TIPO",IF(AND($K51&lt;&gt;"A",$J51=""),"FALTA TIEMPO",IF(AND($K51="T",OR($G51="",$H51="",$I51="")),"REVISAR TRANSPORTE",IF($U51="REVISAR","REVISAR PRECEDENCIA","OK"))))))))</x:f>
      </x:c>
    </x:row>
    <x:row r="52" ht="24" customHeight="1">
      <x:c r="A52" s="326" t="str">
        <x:f>IF($E52="","",COUNTA($E$19:E52))</x:f>
      </x:c>
      <x:c r="B52" s="327"/>
      <x:c r="C52" s="327"/>
      <x:c r="D52" s="327"/>
      <x:c r="E52" s="328"/>
      <x:c r="F52" s="328"/>
      <x:c r="G52" s="328"/>
      <x:c r="H52" s="328"/>
      <x:c r="I52" s="329"/>
      <x:c r="J52" s="329"/>
      <x:c r="K52" s="327"/>
      <x:c r="L52" s="330" t="str">
        <x:f>IF($K52="O", "●", "")</x:f>
      </x:c>
      <x:c r="M52" s="331" t="str">
        <x:f>IF($K52="T", "➜", "")</x:f>
      </x:c>
      <x:c r="N52" s="332" t="str">
        <x:f>IF($K52="I", "■", "")</x:f>
      </x:c>
      <x:c r="O52" s="333" t="str">
        <x:f>IF($K52="E", "D", "")</x:f>
      </x:c>
      <x:c r="P52" s="334" t="str">
        <x:f>IF($K52="A", "▼", "")</x:f>
      </x:c>
      <x:c r="Q52" s="335"/>
      <x:c r="R52" s="335"/>
      <x:c r="S52" s="335"/>
      <x:c r="T52" s="335"/>
      <x:c r="U52" s="336" t="str">
        <x:f>IF(OR($B52="",$E52="",$K52="",AND($K52&lt;&gt;"A",$J52="")),"",IF(OR(AND($Q52&lt;&gt;"",COUNTIF($B$19:$B51,$Q52)=0),AND($R52&lt;&gt;"",COUNTIF($B$19:$B51,$R52)=0),AND($S52&lt;&gt;"",COUNTIF($B$19:$B51,$S52)=0),AND($T52&lt;&gt;"",COUNTIF($B$19:$B51,$T52)=0)),"REVISAR",MAX(IFERROR(INDEX($V$19:$V51,MATCH($Q52,$B$19:$B51,0)),0),IFERROR(INDEX($V$19:$V51,MATCH($R52,$B$19:$B51,0)),0),IFERROR(INDEX($V$19:$V51,MATCH($S52,$B$19:$B51,0)),0),IFERROR(INDEX($V$19:$V51,MATCH($T52,$B$19:$B51,0)),0))))</x:f>
      </x:c>
      <x:c r="V52" s="336" t="str">
        <x:f>IF(ISNUMBER($U52),$U52+IF($J52="",0,$J52),"")</x:f>
      </x:c>
      <x:c r="W52" s="337"/>
      <x:c r="X52" s="338" t="str">
        <x:f>IF(COUNTA($B52:$K52)+COUNTA($Q52:$T52)+COUNTA($W52)=0,"",IF($B52="","FALTA ID",IF(COUNTIF($B$19:$B$118,$B52)&gt;1,"ID REPETIDO",IF($E52="","FALTA DESCRIPCIÓN",IF($K52="","FALTA TIPO",IF(AND($K52&lt;&gt;"A",$J52=""),"FALTA TIEMPO",IF(AND($K52="T",OR($G52="",$H52="",$I52="")),"REVISAR TRANSPORTE",IF($U52="REVISAR","REVISAR PRECEDENCIA","OK"))))))))</x:f>
      </x:c>
    </x:row>
    <x:row r="53" ht="24" customHeight="1">
      <x:c r="A53" s="326" t="str">
        <x:f>IF($E53="","",COUNTA($E$19:E53))</x:f>
      </x:c>
      <x:c r="B53" s="327"/>
      <x:c r="C53" s="327"/>
      <x:c r="D53" s="327"/>
      <x:c r="E53" s="328"/>
      <x:c r="F53" s="328"/>
      <x:c r="G53" s="328"/>
      <x:c r="H53" s="328"/>
      <x:c r="I53" s="329"/>
      <x:c r="J53" s="329"/>
      <x:c r="K53" s="327"/>
      <x:c r="L53" s="330" t="str">
        <x:f>IF($K53="O", "●", "")</x:f>
      </x:c>
      <x:c r="M53" s="331" t="str">
        <x:f>IF($K53="T", "➜", "")</x:f>
      </x:c>
      <x:c r="N53" s="332" t="str">
        <x:f>IF($K53="I", "■", "")</x:f>
      </x:c>
      <x:c r="O53" s="333" t="str">
        <x:f>IF($K53="E", "D", "")</x:f>
      </x:c>
      <x:c r="P53" s="334" t="str">
        <x:f>IF($K53="A", "▼", "")</x:f>
      </x:c>
      <x:c r="Q53" s="335"/>
      <x:c r="R53" s="335"/>
      <x:c r="S53" s="335"/>
      <x:c r="T53" s="335"/>
      <x:c r="U53" s="336" t="str">
        <x:f>IF(OR($B53="",$E53="",$K53="",AND($K53&lt;&gt;"A",$J53="")),"",IF(OR(AND($Q53&lt;&gt;"",COUNTIF($B$19:$B52,$Q53)=0),AND($R53&lt;&gt;"",COUNTIF($B$19:$B52,$R53)=0),AND($S53&lt;&gt;"",COUNTIF($B$19:$B52,$S53)=0),AND($T53&lt;&gt;"",COUNTIF($B$19:$B52,$T53)=0)),"REVISAR",MAX(IFERROR(INDEX($V$19:$V52,MATCH($Q53,$B$19:$B52,0)),0),IFERROR(INDEX($V$19:$V52,MATCH($R53,$B$19:$B52,0)),0),IFERROR(INDEX($V$19:$V52,MATCH($S53,$B$19:$B52,0)),0),IFERROR(INDEX($V$19:$V52,MATCH($T53,$B$19:$B52,0)),0))))</x:f>
      </x:c>
      <x:c r="V53" s="336" t="str">
        <x:f>IF(ISNUMBER($U53),$U53+IF($J53="",0,$J53),"")</x:f>
      </x:c>
      <x:c r="W53" s="337"/>
      <x:c r="X53" s="338" t="str">
        <x:f>IF(COUNTA($B53:$K53)+COUNTA($Q53:$T53)+COUNTA($W53)=0,"",IF($B53="","FALTA ID",IF(COUNTIF($B$19:$B$118,$B53)&gt;1,"ID REPETIDO",IF($E53="","FALTA DESCRIPCIÓN",IF($K53="","FALTA TIPO",IF(AND($K53&lt;&gt;"A",$J53=""),"FALTA TIEMPO",IF(AND($K53="T",OR($G53="",$H53="",$I53="")),"REVISAR TRANSPORTE",IF($U53="REVISAR","REVISAR PRECEDENCIA","OK"))))))))</x:f>
      </x:c>
    </x:row>
    <x:row r="54" ht="24" customHeight="1">
      <x:c r="A54" s="326" t="str">
        <x:f>IF($E54="","",COUNTA($E$19:E54))</x:f>
      </x:c>
      <x:c r="B54" s="327"/>
      <x:c r="C54" s="327"/>
      <x:c r="D54" s="327"/>
      <x:c r="E54" s="328"/>
      <x:c r="F54" s="328"/>
      <x:c r="G54" s="328"/>
      <x:c r="H54" s="328"/>
      <x:c r="I54" s="329"/>
      <x:c r="J54" s="329"/>
      <x:c r="K54" s="327"/>
      <x:c r="L54" s="330" t="str">
        <x:f>IF($K54="O", "●", "")</x:f>
      </x:c>
      <x:c r="M54" s="331" t="str">
        <x:f>IF($K54="T", "➜", "")</x:f>
      </x:c>
      <x:c r="N54" s="332" t="str">
        <x:f>IF($K54="I", "■", "")</x:f>
      </x:c>
      <x:c r="O54" s="333" t="str">
        <x:f>IF($K54="E", "D", "")</x:f>
      </x:c>
      <x:c r="P54" s="334" t="str">
        <x:f>IF($K54="A", "▼", "")</x:f>
      </x:c>
      <x:c r="Q54" s="335"/>
      <x:c r="R54" s="335"/>
      <x:c r="S54" s="335"/>
      <x:c r="T54" s="335"/>
      <x:c r="U54" s="336" t="str">
        <x:f>IF(OR($B54="",$E54="",$K54="",AND($K54&lt;&gt;"A",$J54="")),"",IF(OR(AND($Q54&lt;&gt;"",COUNTIF($B$19:$B53,$Q54)=0),AND($R54&lt;&gt;"",COUNTIF($B$19:$B53,$R54)=0),AND($S54&lt;&gt;"",COUNTIF($B$19:$B53,$S54)=0),AND($T54&lt;&gt;"",COUNTIF($B$19:$B53,$T54)=0)),"REVISAR",MAX(IFERROR(INDEX($V$19:$V53,MATCH($Q54,$B$19:$B53,0)),0),IFERROR(INDEX($V$19:$V53,MATCH($R54,$B$19:$B53,0)),0),IFERROR(INDEX($V$19:$V53,MATCH($S54,$B$19:$B53,0)),0),IFERROR(INDEX($V$19:$V53,MATCH($T54,$B$19:$B53,0)),0))))</x:f>
      </x:c>
      <x:c r="V54" s="336" t="str">
        <x:f>IF(ISNUMBER($U54),$U54+IF($J54="",0,$J54),"")</x:f>
      </x:c>
      <x:c r="W54" s="337"/>
      <x:c r="X54" s="338" t="str">
        <x:f>IF(COUNTA($B54:$K54)+COUNTA($Q54:$T54)+COUNTA($W54)=0,"",IF($B54="","FALTA ID",IF(COUNTIF($B$19:$B$118,$B54)&gt;1,"ID REPETIDO",IF($E54="","FALTA DESCRIPCIÓN",IF($K54="","FALTA TIPO",IF(AND($K54&lt;&gt;"A",$J54=""),"FALTA TIEMPO",IF(AND($K54="T",OR($G54="",$H54="",$I54="")),"REVISAR TRANSPORTE",IF($U54="REVISAR","REVISAR PRECEDENCIA","OK"))))))))</x:f>
      </x:c>
    </x:row>
    <x:row r="55" ht="24" customHeight="1">
      <x:c r="A55" s="326" t="str">
        <x:f>IF($E55="","",COUNTA($E$19:E55))</x:f>
      </x:c>
      <x:c r="B55" s="327"/>
      <x:c r="C55" s="327"/>
      <x:c r="D55" s="327"/>
      <x:c r="E55" s="328"/>
      <x:c r="F55" s="328"/>
      <x:c r="G55" s="328"/>
      <x:c r="H55" s="328"/>
      <x:c r="I55" s="329"/>
      <x:c r="J55" s="329"/>
      <x:c r="K55" s="327"/>
      <x:c r="L55" s="330" t="str">
        <x:f>IF($K55="O", "●", "")</x:f>
      </x:c>
      <x:c r="M55" s="331" t="str">
        <x:f>IF($K55="T", "➜", "")</x:f>
      </x:c>
      <x:c r="N55" s="332" t="str">
        <x:f>IF($K55="I", "■", "")</x:f>
      </x:c>
      <x:c r="O55" s="333" t="str">
        <x:f>IF($K55="E", "D", "")</x:f>
      </x:c>
      <x:c r="P55" s="334" t="str">
        <x:f>IF($K55="A", "▼", "")</x:f>
      </x:c>
      <x:c r="Q55" s="335"/>
      <x:c r="R55" s="335"/>
      <x:c r="S55" s="335"/>
      <x:c r="T55" s="335"/>
      <x:c r="U55" s="336" t="str">
        <x:f>IF(OR($B55="",$E55="",$K55="",AND($K55&lt;&gt;"A",$J55="")),"",IF(OR(AND($Q55&lt;&gt;"",COUNTIF($B$19:$B54,$Q55)=0),AND($R55&lt;&gt;"",COUNTIF($B$19:$B54,$R55)=0),AND($S55&lt;&gt;"",COUNTIF($B$19:$B54,$S55)=0),AND($T55&lt;&gt;"",COUNTIF($B$19:$B54,$T55)=0)),"REVISAR",MAX(IFERROR(INDEX($V$19:$V54,MATCH($Q55,$B$19:$B54,0)),0),IFERROR(INDEX($V$19:$V54,MATCH($R55,$B$19:$B54,0)),0),IFERROR(INDEX($V$19:$V54,MATCH($S55,$B$19:$B54,0)),0),IFERROR(INDEX($V$19:$V54,MATCH($T55,$B$19:$B54,0)),0))))</x:f>
      </x:c>
      <x:c r="V55" s="336" t="str">
        <x:f>IF(ISNUMBER($U55),$U55+IF($J55="",0,$J55),"")</x:f>
      </x:c>
      <x:c r="W55" s="337"/>
      <x:c r="X55" s="338" t="str">
        <x:f>IF(COUNTA($B55:$K55)+COUNTA($Q55:$T55)+COUNTA($W55)=0,"",IF($B55="","FALTA ID",IF(COUNTIF($B$19:$B$118,$B55)&gt;1,"ID REPETIDO",IF($E55="","FALTA DESCRIPCIÓN",IF($K55="","FALTA TIPO",IF(AND($K55&lt;&gt;"A",$J55=""),"FALTA TIEMPO",IF(AND($K55="T",OR($G55="",$H55="",$I55="")),"REVISAR TRANSPORTE",IF($U55="REVISAR","REVISAR PRECEDENCIA","OK"))))))))</x:f>
      </x:c>
    </x:row>
    <x:row r="56" ht="24" customHeight="1">
      <x:c r="A56" s="326" t="str">
        <x:f>IF($E56="","",COUNTA($E$19:E56))</x:f>
      </x:c>
      <x:c r="B56" s="327"/>
      <x:c r="C56" s="327"/>
      <x:c r="D56" s="327"/>
      <x:c r="E56" s="328"/>
      <x:c r="F56" s="328"/>
      <x:c r="G56" s="328"/>
      <x:c r="H56" s="328"/>
      <x:c r="I56" s="329"/>
      <x:c r="J56" s="329"/>
      <x:c r="K56" s="327"/>
      <x:c r="L56" s="330" t="str">
        <x:f>IF($K56="O", "●", "")</x:f>
      </x:c>
      <x:c r="M56" s="331" t="str">
        <x:f>IF($K56="T", "➜", "")</x:f>
      </x:c>
      <x:c r="N56" s="332" t="str">
        <x:f>IF($K56="I", "■", "")</x:f>
      </x:c>
      <x:c r="O56" s="333" t="str">
        <x:f>IF($K56="E", "D", "")</x:f>
      </x:c>
      <x:c r="P56" s="334" t="str">
        <x:f>IF($K56="A", "▼", "")</x:f>
      </x:c>
      <x:c r="Q56" s="335"/>
      <x:c r="R56" s="335"/>
      <x:c r="S56" s="335"/>
      <x:c r="T56" s="335"/>
      <x:c r="U56" s="336" t="str">
        <x:f>IF(OR($B56="",$E56="",$K56="",AND($K56&lt;&gt;"A",$J56="")),"",IF(OR(AND($Q56&lt;&gt;"",COUNTIF($B$19:$B55,$Q56)=0),AND($R56&lt;&gt;"",COUNTIF($B$19:$B55,$R56)=0),AND($S56&lt;&gt;"",COUNTIF($B$19:$B55,$S56)=0),AND($T56&lt;&gt;"",COUNTIF($B$19:$B55,$T56)=0)),"REVISAR",MAX(IFERROR(INDEX($V$19:$V55,MATCH($Q56,$B$19:$B55,0)),0),IFERROR(INDEX($V$19:$V55,MATCH($R56,$B$19:$B55,0)),0),IFERROR(INDEX($V$19:$V55,MATCH($S56,$B$19:$B55,0)),0),IFERROR(INDEX($V$19:$V55,MATCH($T56,$B$19:$B55,0)),0))))</x:f>
      </x:c>
      <x:c r="V56" s="336" t="str">
        <x:f>IF(ISNUMBER($U56),$U56+IF($J56="",0,$J56),"")</x:f>
      </x:c>
      <x:c r="W56" s="337"/>
      <x:c r="X56" s="338" t="str">
        <x:f>IF(COUNTA($B56:$K56)+COUNTA($Q56:$T56)+COUNTA($W56)=0,"",IF($B56="","FALTA ID",IF(COUNTIF($B$19:$B$118,$B56)&gt;1,"ID REPETIDO",IF($E56="","FALTA DESCRIPCIÓN",IF($K56="","FALTA TIPO",IF(AND($K56&lt;&gt;"A",$J56=""),"FALTA TIEMPO",IF(AND($K56="T",OR($G56="",$H56="",$I56="")),"REVISAR TRANSPORTE",IF($U56="REVISAR","REVISAR PRECEDENCIA","OK"))))))))</x:f>
      </x:c>
    </x:row>
    <x:row r="57" ht="24" customHeight="1">
      <x:c r="A57" s="326" t="str">
        <x:f>IF($E57="","",COUNTA($E$19:E57))</x:f>
      </x:c>
      <x:c r="B57" s="327"/>
      <x:c r="C57" s="327"/>
      <x:c r="D57" s="327"/>
      <x:c r="E57" s="328"/>
      <x:c r="F57" s="328"/>
      <x:c r="G57" s="328"/>
      <x:c r="H57" s="328"/>
      <x:c r="I57" s="329"/>
      <x:c r="J57" s="329"/>
      <x:c r="K57" s="327"/>
      <x:c r="L57" s="330" t="str">
        <x:f>IF($K57="O", "●", "")</x:f>
      </x:c>
      <x:c r="M57" s="331" t="str">
        <x:f>IF($K57="T", "➜", "")</x:f>
      </x:c>
      <x:c r="N57" s="332" t="str">
        <x:f>IF($K57="I", "■", "")</x:f>
      </x:c>
      <x:c r="O57" s="333" t="str">
        <x:f>IF($K57="E", "D", "")</x:f>
      </x:c>
      <x:c r="P57" s="334" t="str">
        <x:f>IF($K57="A", "▼", "")</x:f>
      </x:c>
      <x:c r="Q57" s="335"/>
      <x:c r="R57" s="335"/>
      <x:c r="S57" s="335"/>
      <x:c r="T57" s="335"/>
      <x:c r="U57" s="336" t="str">
        <x:f>IF(OR($B57="",$E57="",$K57="",AND($K57&lt;&gt;"A",$J57="")),"",IF(OR(AND($Q57&lt;&gt;"",COUNTIF($B$19:$B56,$Q57)=0),AND($R57&lt;&gt;"",COUNTIF($B$19:$B56,$R57)=0),AND($S57&lt;&gt;"",COUNTIF($B$19:$B56,$S57)=0),AND($T57&lt;&gt;"",COUNTIF($B$19:$B56,$T57)=0)),"REVISAR",MAX(IFERROR(INDEX($V$19:$V56,MATCH($Q57,$B$19:$B56,0)),0),IFERROR(INDEX($V$19:$V56,MATCH($R57,$B$19:$B56,0)),0),IFERROR(INDEX($V$19:$V56,MATCH($S57,$B$19:$B56,0)),0),IFERROR(INDEX($V$19:$V56,MATCH($T57,$B$19:$B56,0)),0))))</x:f>
      </x:c>
      <x:c r="V57" s="336" t="str">
        <x:f>IF(ISNUMBER($U57),$U57+IF($J57="",0,$J57),"")</x:f>
      </x:c>
      <x:c r="W57" s="337"/>
      <x:c r="X57" s="338" t="str">
        <x:f>IF(COUNTA($B57:$K57)+COUNTA($Q57:$T57)+COUNTA($W57)=0,"",IF($B57="","FALTA ID",IF(COUNTIF($B$19:$B$118,$B57)&gt;1,"ID REPETIDO",IF($E57="","FALTA DESCRIPCIÓN",IF($K57="","FALTA TIPO",IF(AND($K57&lt;&gt;"A",$J57=""),"FALTA TIEMPO",IF(AND($K57="T",OR($G57="",$H57="",$I57="")),"REVISAR TRANSPORTE",IF($U57="REVISAR","REVISAR PRECEDENCIA","OK"))))))))</x:f>
      </x:c>
    </x:row>
    <x:row r="58" ht="24" customHeight="1">
      <x:c r="A58" s="326" t="str">
        <x:f>IF($E58="","",COUNTA($E$19:E58))</x:f>
      </x:c>
      <x:c r="B58" s="327"/>
      <x:c r="C58" s="327"/>
      <x:c r="D58" s="327"/>
      <x:c r="E58" s="328"/>
      <x:c r="F58" s="328"/>
      <x:c r="G58" s="328"/>
      <x:c r="H58" s="328"/>
      <x:c r="I58" s="329"/>
      <x:c r="J58" s="329"/>
      <x:c r="K58" s="327"/>
      <x:c r="L58" s="330" t="str">
        <x:f>IF($K58="O", "●", "")</x:f>
      </x:c>
      <x:c r="M58" s="331" t="str">
        <x:f>IF($K58="T", "➜", "")</x:f>
      </x:c>
      <x:c r="N58" s="332" t="str">
        <x:f>IF($K58="I", "■", "")</x:f>
      </x:c>
      <x:c r="O58" s="333" t="str">
        <x:f>IF($K58="E", "D", "")</x:f>
      </x:c>
      <x:c r="P58" s="334" t="str">
        <x:f>IF($K58="A", "▼", "")</x:f>
      </x:c>
      <x:c r="Q58" s="335"/>
      <x:c r="R58" s="335"/>
      <x:c r="S58" s="335"/>
      <x:c r="T58" s="335"/>
      <x:c r="U58" s="336" t="str">
        <x:f>IF(OR($B58="",$E58="",$K58="",AND($K58&lt;&gt;"A",$J58="")),"",IF(OR(AND($Q58&lt;&gt;"",COUNTIF($B$19:$B57,$Q58)=0),AND($R58&lt;&gt;"",COUNTIF($B$19:$B57,$R58)=0),AND($S58&lt;&gt;"",COUNTIF($B$19:$B57,$S58)=0),AND($T58&lt;&gt;"",COUNTIF($B$19:$B57,$T58)=0)),"REVISAR",MAX(IFERROR(INDEX($V$19:$V57,MATCH($Q58,$B$19:$B57,0)),0),IFERROR(INDEX($V$19:$V57,MATCH($R58,$B$19:$B57,0)),0),IFERROR(INDEX($V$19:$V57,MATCH($S58,$B$19:$B57,0)),0),IFERROR(INDEX($V$19:$V57,MATCH($T58,$B$19:$B57,0)),0))))</x:f>
      </x:c>
      <x:c r="V58" s="336" t="str">
        <x:f>IF(ISNUMBER($U58),$U58+IF($J58="",0,$J58),"")</x:f>
      </x:c>
      <x:c r="W58" s="337"/>
      <x:c r="X58" s="338" t="str">
        <x:f>IF(COUNTA($B58:$K58)+COUNTA($Q58:$T58)+COUNTA($W58)=0,"",IF($B58="","FALTA ID",IF(COUNTIF($B$19:$B$118,$B58)&gt;1,"ID REPETIDO",IF($E58="","FALTA DESCRIPCIÓN",IF($K58="","FALTA TIPO",IF(AND($K58&lt;&gt;"A",$J58=""),"FALTA TIEMPO",IF(AND($K58="T",OR($G58="",$H58="",$I58="")),"REVISAR TRANSPORTE",IF($U58="REVISAR","REVISAR PRECEDENCIA","OK"))))))))</x:f>
      </x:c>
    </x:row>
    <x:row r="59" ht="24" customHeight="1">
      <x:c r="A59" s="326" t="str">
        <x:f>IF($E59="","",COUNTA($E$19:E59))</x:f>
      </x:c>
      <x:c r="B59" s="327"/>
      <x:c r="C59" s="327"/>
      <x:c r="D59" s="327"/>
      <x:c r="E59" s="328"/>
      <x:c r="F59" s="328"/>
      <x:c r="G59" s="328"/>
      <x:c r="H59" s="328"/>
      <x:c r="I59" s="329"/>
      <x:c r="J59" s="329"/>
      <x:c r="K59" s="327"/>
      <x:c r="L59" s="330" t="str">
        <x:f>IF($K59="O", "●", "")</x:f>
      </x:c>
      <x:c r="M59" s="331" t="str">
        <x:f>IF($K59="T", "➜", "")</x:f>
      </x:c>
      <x:c r="N59" s="332" t="str">
        <x:f>IF($K59="I", "■", "")</x:f>
      </x:c>
      <x:c r="O59" s="333" t="str">
        <x:f>IF($K59="E", "D", "")</x:f>
      </x:c>
      <x:c r="P59" s="334" t="str">
        <x:f>IF($K59="A", "▼", "")</x:f>
      </x:c>
      <x:c r="Q59" s="335"/>
      <x:c r="R59" s="335"/>
      <x:c r="S59" s="335"/>
      <x:c r="T59" s="335"/>
      <x:c r="U59" s="336" t="str">
        <x:f>IF(OR($B59="",$E59="",$K59="",AND($K59&lt;&gt;"A",$J59="")),"",IF(OR(AND($Q59&lt;&gt;"",COUNTIF($B$19:$B58,$Q59)=0),AND($R59&lt;&gt;"",COUNTIF($B$19:$B58,$R59)=0),AND($S59&lt;&gt;"",COUNTIF($B$19:$B58,$S59)=0),AND($T59&lt;&gt;"",COUNTIF($B$19:$B58,$T59)=0)),"REVISAR",MAX(IFERROR(INDEX($V$19:$V58,MATCH($Q59,$B$19:$B58,0)),0),IFERROR(INDEX($V$19:$V58,MATCH($R59,$B$19:$B58,0)),0),IFERROR(INDEX($V$19:$V58,MATCH($S59,$B$19:$B58,0)),0),IFERROR(INDEX($V$19:$V58,MATCH($T59,$B$19:$B58,0)),0))))</x:f>
      </x:c>
      <x:c r="V59" s="336" t="str">
        <x:f>IF(ISNUMBER($U59),$U59+IF($J59="",0,$J59),"")</x:f>
      </x:c>
      <x:c r="W59" s="337"/>
      <x:c r="X59" s="338" t="str">
        <x:f>IF(COUNTA($B59:$K59)+COUNTA($Q59:$T59)+COUNTA($W59)=0,"",IF($B59="","FALTA ID",IF(COUNTIF($B$19:$B$118,$B59)&gt;1,"ID REPETIDO",IF($E59="","FALTA DESCRIPCIÓN",IF($K59="","FALTA TIPO",IF(AND($K59&lt;&gt;"A",$J59=""),"FALTA TIEMPO",IF(AND($K59="T",OR($G59="",$H59="",$I59="")),"REVISAR TRANSPORTE",IF($U59="REVISAR","REVISAR PRECEDENCIA","OK"))))))))</x:f>
      </x:c>
    </x:row>
    <x:row r="60" ht="24" customHeight="1">
      <x:c r="A60" s="326" t="str">
        <x:f>IF($E60="","",COUNTA($E$19:E60))</x:f>
      </x:c>
      <x:c r="B60" s="327"/>
      <x:c r="C60" s="327"/>
      <x:c r="D60" s="327"/>
      <x:c r="E60" s="328"/>
      <x:c r="F60" s="328"/>
      <x:c r="G60" s="328"/>
      <x:c r="H60" s="328"/>
      <x:c r="I60" s="329"/>
      <x:c r="J60" s="329"/>
      <x:c r="K60" s="327"/>
      <x:c r="L60" s="330" t="str">
        <x:f>IF($K60="O", "●", "")</x:f>
      </x:c>
      <x:c r="M60" s="331" t="str">
        <x:f>IF($K60="T", "➜", "")</x:f>
      </x:c>
      <x:c r="N60" s="332" t="str">
        <x:f>IF($K60="I", "■", "")</x:f>
      </x:c>
      <x:c r="O60" s="333" t="str">
        <x:f>IF($K60="E", "D", "")</x:f>
      </x:c>
      <x:c r="P60" s="334" t="str">
        <x:f>IF($K60="A", "▼", "")</x:f>
      </x:c>
      <x:c r="Q60" s="335"/>
      <x:c r="R60" s="335"/>
      <x:c r="S60" s="335"/>
      <x:c r="T60" s="335"/>
      <x:c r="U60" s="336" t="str">
        <x:f>IF(OR($B60="",$E60="",$K60="",AND($K60&lt;&gt;"A",$J60="")),"",IF(OR(AND($Q60&lt;&gt;"",COUNTIF($B$19:$B59,$Q60)=0),AND($R60&lt;&gt;"",COUNTIF($B$19:$B59,$R60)=0),AND($S60&lt;&gt;"",COUNTIF($B$19:$B59,$S60)=0),AND($T60&lt;&gt;"",COUNTIF($B$19:$B59,$T60)=0)),"REVISAR",MAX(IFERROR(INDEX($V$19:$V59,MATCH($Q60,$B$19:$B59,0)),0),IFERROR(INDEX($V$19:$V59,MATCH($R60,$B$19:$B59,0)),0),IFERROR(INDEX($V$19:$V59,MATCH($S60,$B$19:$B59,0)),0),IFERROR(INDEX($V$19:$V59,MATCH($T60,$B$19:$B59,0)),0))))</x:f>
      </x:c>
      <x:c r="V60" s="336" t="str">
        <x:f>IF(ISNUMBER($U60),$U60+IF($J60="",0,$J60),"")</x:f>
      </x:c>
      <x:c r="W60" s="337"/>
      <x:c r="X60" s="338" t="str">
        <x:f>IF(COUNTA($B60:$K60)+COUNTA($Q60:$T60)+COUNTA($W60)=0,"",IF($B60="","FALTA ID",IF(COUNTIF($B$19:$B$118,$B60)&gt;1,"ID REPETIDO",IF($E60="","FALTA DESCRIPCIÓN",IF($K60="","FALTA TIPO",IF(AND($K60&lt;&gt;"A",$J60=""),"FALTA TIEMPO",IF(AND($K60="T",OR($G60="",$H60="",$I60="")),"REVISAR TRANSPORTE",IF($U60="REVISAR","REVISAR PRECEDENCIA","OK"))))))))</x:f>
      </x:c>
    </x:row>
    <x:row r="61" ht="24" customHeight="1">
      <x:c r="A61" s="326" t="str">
        <x:f>IF($E61="","",COUNTA($E$19:E61))</x:f>
      </x:c>
      <x:c r="B61" s="327"/>
      <x:c r="C61" s="327"/>
      <x:c r="D61" s="327"/>
      <x:c r="E61" s="328"/>
      <x:c r="F61" s="328"/>
      <x:c r="G61" s="328"/>
      <x:c r="H61" s="328"/>
      <x:c r="I61" s="329"/>
      <x:c r="J61" s="329"/>
      <x:c r="K61" s="327"/>
      <x:c r="L61" s="330" t="str">
        <x:f>IF($K61="O", "●", "")</x:f>
      </x:c>
      <x:c r="M61" s="331" t="str">
        <x:f>IF($K61="T", "➜", "")</x:f>
      </x:c>
      <x:c r="N61" s="332" t="str">
        <x:f>IF($K61="I", "■", "")</x:f>
      </x:c>
      <x:c r="O61" s="333" t="str">
        <x:f>IF($K61="E", "D", "")</x:f>
      </x:c>
      <x:c r="P61" s="334" t="str">
        <x:f>IF($K61="A", "▼", "")</x:f>
      </x:c>
      <x:c r="Q61" s="335"/>
      <x:c r="R61" s="335"/>
      <x:c r="S61" s="335"/>
      <x:c r="T61" s="335"/>
      <x:c r="U61" s="336" t="str">
        <x:f>IF(OR($B61="",$E61="",$K61="",AND($K61&lt;&gt;"A",$J61="")),"",IF(OR(AND($Q61&lt;&gt;"",COUNTIF($B$19:$B60,$Q61)=0),AND($R61&lt;&gt;"",COUNTIF($B$19:$B60,$R61)=0),AND($S61&lt;&gt;"",COUNTIF($B$19:$B60,$S61)=0),AND($T61&lt;&gt;"",COUNTIF($B$19:$B60,$T61)=0)),"REVISAR",MAX(IFERROR(INDEX($V$19:$V60,MATCH($Q61,$B$19:$B60,0)),0),IFERROR(INDEX($V$19:$V60,MATCH($R61,$B$19:$B60,0)),0),IFERROR(INDEX($V$19:$V60,MATCH($S61,$B$19:$B60,0)),0),IFERROR(INDEX($V$19:$V60,MATCH($T61,$B$19:$B60,0)),0))))</x:f>
      </x:c>
      <x:c r="V61" s="336" t="str">
        <x:f>IF(ISNUMBER($U61),$U61+IF($J61="",0,$J61),"")</x:f>
      </x:c>
      <x:c r="W61" s="337"/>
      <x:c r="X61" s="338" t="str">
        <x:f>IF(COUNTA($B61:$K61)+COUNTA($Q61:$T61)+COUNTA($W61)=0,"",IF($B61="","FALTA ID",IF(COUNTIF($B$19:$B$118,$B61)&gt;1,"ID REPETIDO",IF($E61="","FALTA DESCRIPCIÓN",IF($K61="","FALTA TIPO",IF(AND($K61&lt;&gt;"A",$J61=""),"FALTA TIEMPO",IF(AND($K61="T",OR($G61="",$H61="",$I61="")),"REVISAR TRANSPORTE",IF($U61="REVISAR","REVISAR PRECEDENCIA","OK"))))))))</x:f>
      </x:c>
    </x:row>
    <x:row r="62" ht="24" customHeight="1">
      <x:c r="A62" s="326" t="str">
        <x:f>IF($E62="","",COUNTA($E$19:E62))</x:f>
      </x:c>
      <x:c r="B62" s="327"/>
      <x:c r="C62" s="327"/>
      <x:c r="D62" s="327"/>
      <x:c r="E62" s="328"/>
      <x:c r="F62" s="328"/>
      <x:c r="G62" s="328"/>
      <x:c r="H62" s="328"/>
      <x:c r="I62" s="329"/>
      <x:c r="J62" s="329"/>
      <x:c r="K62" s="327"/>
      <x:c r="L62" s="330" t="str">
        <x:f>IF($K62="O", "●", "")</x:f>
      </x:c>
      <x:c r="M62" s="331" t="str">
        <x:f>IF($K62="T", "➜", "")</x:f>
      </x:c>
      <x:c r="N62" s="332" t="str">
        <x:f>IF($K62="I", "■", "")</x:f>
      </x:c>
      <x:c r="O62" s="333" t="str">
        <x:f>IF($K62="E", "D", "")</x:f>
      </x:c>
      <x:c r="P62" s="334" t="str">
        <x:f>IF($K62="A", "▼", "")</x:f>
      </x:c>
      <x:c r="Q62" s="335"/>
      <x:c r="R62" s="335"/>
      <x:c r="S62" s="335"/>
      <x:c r="T62" s="335"/>
      <x:c r="U62" s="336" t="str">
        <x:f>IF(OR($B62="",$E62="",$K62="",AND($K62&lt;&gt;"A",$J62="")),"",IF(OR(AND($Q62&lt;&gt;"",COUNTIF($B$19:$B61,$Q62)=0),AND($R62&lt;&gt;"",COUNTIF($B$19:$B61,$R62)=0),AND($S62&lt;&gt;"",COUNTIF($B$19:$B61,$S62)=0),AND($T62&lt;&gt;"",COUNTIF($B$19:$B61,$T62)=0)),"REVISAR",MAX(IFERROR(INDEX($V$19:$V61,MATCH($Q62,$B$19:$B61,0)),0),IFERROR(INDEX($V$19:$V61,MATCH($R62,$B$19:$B61,0)),0),IFERROR(INDEX($V$19:$V61,MATCH($S62,$B$19:$B61,0)),0),IFERROR(INDEX($V$19:$V61,MATCH($T62,$B$19:$B61,0)),0))))</x:f>
      </x:c>
      <x:c r="V62" s="336" t="str">
        <x:f>IF(ISNUMBER($U62),$U62+IF($J62="",0,$J62),"")</x:f>
      </x:c>
      <x:c r="W62" s="337"/>
      <x:c r="X62" s="338" t="str">
        <x:f>IF(COUNTA($B62:$K62)+COUNTA($Q62:$T62)+COUNTA($W62)=0,"",IF($B62="","FALTA ID",IF(COUNTIF($B$19:$B$118,$B62)&gt;1,"ID REPETIDO",IF($E62="","FALTA DESCRIPCIÓN",IF($K62="","FALTA TIPO",IF(AND($K62&lt;&gt;"A",$J62=""),"FALTA TIEMPO",IF(AND($K62="T",OR($G62="",$H62="",$I62="")),"REVISAR TRANSPORTE",IF($U62="REVISAR","REVISAR PRECEDENCIA","OK"))))))))</x:f>
      </x:c>
    </x:row>
    <x:row r="63" ht="24" customHeight="1">
      <x:c r="A63" s="326" t="str">
        <x:f>IF($E63="","",COUNTA($E$19:E63))</x:f>
      </x:c>
      <x:c r="B63" s="327"/>
      <x:c r="C63" s="327"/>
      <x:c r="D63" s="327"/>
      <x:c r="E63" s="328"/>
      <x:c r="F63" s="328"/>
      <x:c r="G63" s="328"/>
      <x:c r="H63" s="328"/>
      <x:c r="I63" s="329"/>
      <x:c r="J63" s="329"/>
      <x:c r="K63" s="327"/>
      <x:c r="L63" s="330" t="str">
        <x:f>IF($K63="O", "●", "")</x:f>
      </x:c>
      <x:c r="M63" s="331" t="str">
        <x:f>IF($K63="T", "➜", "")</x:f>
      </x:c>
      <x:c r="N63" s="332" t="str">
        <x:f>IF($K63="I", "■", "")</x:f>
      </x:c>
      <x:c r="O63" s="333" t="str">
        <x:f>IF($K63="E", "D", "")</x:f>
      </x:c>
      <x:c r="P63" s="334" t="str">
        <x:f>IF($K63="A", "▼", "")</x:f>
      </x:c>
      <x:c r="Q63" s="335"/>
      <x:c r="R63" s="335"/>
      <x:c r="S63" s="335"/>
      <x:c r="T63" s="335"/>
      <x:c r="U63" s="336" t="str">
        <x:f>IF(OR($B63="",$E63="",$K63="",AND($K63&lt;&gt;"A",$J63="")),"",IF(OR(AND($Q63&lt;&gt;"",COUNTIF($B$19:$B62,$Q63)=0),AND($R63&lt;&gt;"",COUNTIF($B$19:$B62,$R63)=0),AND($S63&lt;&gt;"",COUNTIF($B$19:$B62,$S63)=0),AND($T63&lt;&gt;"",COUNTIF($B$19:$B62,$T63)=0)),"REVISAR",MAX(IFERROR(INDEX($V$19:$V62,MATCH($Q63,$B$19:$B62,0)),0),IFERROR(INDEX($V$19:$V62,MATCH($R63,$B$19:$B62,0)),0),IFERROR(INDEX($V$19:$V62,MATCH($S63,$B$19:$B62,0)),0),IFERROR(INDEX($V$19:$V62,MATCH($T63,$B$19:$B62,0)),0))))</x:f>
      </x:c>
      <x:c r="V63" s="336" t="str">
        <x:f>IF(ISNUMBER($U63),$U63+IF($J63="",0,$J63),"")</x:f>
      </x:c>
      <x:c r="W63" s="337"/>
      <x:c r="X63" s="338" t="str">
        <x:f>IF(COUNTA($B63:$K63)+COUNTA($Q63:$T63)+COUNTA($W63)=0,"",IF($B63="","FALTA ID",IF(COUNTIF($B$19:$B$118,$B63)&gt;1,"ID REPETIDO",IF($E63="","FALTA DESCRIPCIÓN",IF($K63="","FALTA TIPO",IF(AND($K63&lt;&gt;"A",$J63=""),"FALTA TIEMPO",IF(AND($K63="T",OR($G63="",$H63="",$I63="")),"REVISAR TRANSPORTE",IF($U63="REVISAR","REVISAR PRECEDENCIA","OK"))))))))</x:f>
      </x:c>
    </x:row>
    <x:row r="64" ht="24" customHeight="1">
      <x:c r="A64" s="326" t="str">
        <x:f>IF($E64="","",COUNTA($E$19:E64))</x:f>
      </x:c>
      <x:c r="B64" s="327"/>
      <x:c r="C64" s="327"/>
      <x:c r="D64" s="327"/>
      <x:c r="E64" s="328"/>
      <x:c r="F64" s="328"/>
      <x:c r="G64" s="328"/>
      <x:c r="H64" s="328"/>
      <x:c r="I64" s="329"/>
      <x:c r="J64" s="329"/>
      <x:c r="K64" s="327"/>
      <x:c r="L64" s="330" t="str">
        <x:f>IF($K64="O", "●", "")</x:f>
      </x:c>
      <x:c r="M64" s="331" t="str">
        <x:f>IF($K64="T", "➜", "")</x:f>
      </x:c>
      <x:c r="N64" s="332" t="str">
        <x:f>IF($K64="I", "■", "")</x:f>
      </x:c>
      <x:c r="O64" s="333" t="str">
        <x:f>IF($K64="E", "D", "")</x:f>
      </x:c>
      <x:c r="P64" s="334" t="str">
        <x:f>IF($K64="A", "▼", "")</x:f>
      </x:c>
      <x:c r="Q64" s="335"/>
      <x:c r="R64" s="335"/>
      <x:c r="S64" s="335"/>
      <x:c r="T64" s="335"/>
      <x:c r="U64" s="336" t="str">
        <x:f>IF(OR($B64="",$E64="",$K64="",AND($K64&lt;&gt;"A",$J64="")),"",IF(OR(AND($Q64&lt;&gt;"",COUNTIF($B$19:$B63,$Q64)=0),AND($R64&lt;&gt;"",COUNTIF($B$19:$B63,$R64)=0),AND($S64&lt;&gt;"",COUNTIF($B$19:$B63,$S64)=0),AND($T64&lt;&gt;"",COUNTIF($B$19:$B63,$T64)=0)),"REVISAR",MAX(IFERROR(INDEX($V$19:$V63,MATCH($Q64,$B$19:$B63,0)),0),IFERROR(INDEX($V$19:$V63,MATCH($R64,$B$19:$B63,0)),0),IFERROR(INDEX($V$19:$V63,MATCH($S64,$B$19:$B63,0)),0),IFERROR(INDEX($V$19:$V63,MATCH($T64,$B$19:$B63,0)),0))))</x:f>
      </x:c>
      <x:c r="V64" s="336" t="str">
        <x:f>IF(ISNUMBER($U64),$U64+IF($J64="",0,$J64),"")</x:f>
      </x:c>
      <x:c r="W64" s="337"/>
      <x:c r="X64" s="338" t="str">
        <x:f>IF(COUNTA($B64:$K64)+COUNTA($Q64:$T64)+COUNTA($W64)=0,"",IF($B64="","FALTA ID",IF(COUNTIF($B$19:$B$118,$B64)&gt;1,"ID REPETIDO",IF($E64="","FALTA DESCRIPCIÓN",IF($K64="","FALTA TIPO",IF(AND($K64&lt;&gt;"A",$J64=""),"FALTA TIEMPO",IF(AND($K64="T",OR($G64="",$H64="",$I64="")),"REVISAR TRANSPORTE",IF($U64="REVISAR","REVISAR PRECEDENCIA","OK"))))))))</x:f>
      </x:c>
    </x:row>
    <x:row r="65" ht="24" customHeight="1">
      <x:c r="A65" s="326" t="str">
        <x:f>IF($E65="","",COUNTA($E$19:E65))</x:f>
      </x:c>
      <x:c r="B65" s="327"/>
      <x:c r="C65" s="327"/>
      <x:c r="D65" s="327"/>
      <x:c r="E65" s="328"/>
      <x:c r="F65" s="328"/>
      <x:c r="G65" s="328"/>
      <x:c r="H65" s="328"/>
      <x:c r="I65" s="329"/>
      <x:c r="J65" s="329"/>
      <x:c r="K65" s="327"/>
      <x:c r="L65" s="330" t="str">
        <x:f>IF($K65="O", "●", "")</x:f>
      </x:c>
      <x:c r="M65" s="331" t="str">
        <x:f>IF($K65="T", "➜", "")</x:f>
      </x:c>
      <x:c r="N65" s="332" t="str">
        <x:f>IF($K65="I", "■", "")</x:f>
      </x:c>
      <x:c r="O65" s="333" t="str">
        <x:f>IF($K65="E", "D", "")</x:f>
      </x:c>
      <x:c r="P65" s="334" t="str">
        <x:f>IF($K65="A", "▼", "")</x:f>
      </x:c>
      <x:c r="Q65" s="335"/>
      <x:c r="R65" s="335"/>
      <x:c r="S65" s="335"/>
      <x:c r="T65" s="335"/>
      <x:c r="U65" s="336" t="str">
        <x:f>IF(OR($B65="",$E65="",$K65="",AND($K65&lt;&gt;"A",$J65="")),"",IF(OR(AND($Q65&lt;&gt;"",COUNTIF($B$19:$B64,$Q65)=0),AND($R65&lt;&gt;"",COUNTIF($B$19:$B64,$R65)=0),AND($S65&lt;&gt;"",COUNTIF($B$19:$B64,$S65)=0),AND($T65&lt;&gt;"",COUNTIF($B$19:$B64,$T65)=0)),"REVISAR",MAX(IFERROR(INDEX($V$19:$V64,MATCH($Q65,$B$19:$B64,0)),0),IFERROR(INDEX($V$19:$V64,MATCH($R65,$B$19:$B64,0)),0),IFERROR(INDEX($V$19:$V64,MATCH($S65,$B$19:$B64,0)),0),IFERROR(INDEX($V$19:$V64,MATCH($T65,$B$19:$B64,0)),0))))</x:f>
      </x:c>
      <x:c r="V65" s="336" t="str">
        <x:f>IF(ISNUMBER($U65),$U65+IF($J65="",0,$J65),"")</x:f>
      </x:c>
      <x:c r="W65" s="337"/>
      <x:c r="X65" s="338" t="str">
        <x:f>IF(COUNTA($B65:$K65)+COUNTA($Q65:$T65)+COUNTA($W65)=0,"",IF($B65="","FALTA ID",IF(COUNTIF($B$19:$B$118,$B65)&gt;1,"ID REPETIDO",IF($E65="","FALTA DESCRIPCIÓN",IF($K65="","FALTA TIPO",IF(AND($K65&lt;&gt;"A",$J65=""),"FALTA TIEMPO",IF(AND($K65="T",OR($G65="",$H65="",$I65="")),"REVISAR TRANSPORTE",IF($U65="REVISAR","REVISAR PRECEDENCIA","OK"))))))))</x:f>
      </x:c>
    </x:row>
    <x:row r="66" ht="24" customHeight="1">
      <x:c r="A66" s="326" t="str">
        <x:f>IF($E66="","",COUNTA($E$19:E66))</x:f>
      </x:c>
      <x:c r="B66" s="327"/>
      <x:c r="C66" s="327"/>
      <x:c r="D66" s="327"/>
      <x:c r="E66" s="328"/>
      <x:c r="F66" s="328"/>
      <x:c r="G66" s="328"/>
      <x:c r="H66" s="328"/>
      <x:c r="I66" s="329"/>
      <x:c r="J66" s="329"/>
      <x:c r="K66" s="327"/>
      <x:c r="L66" s="330" t="str">
        <x:f>IF($K66="O", "●", "")</x:f>
      </x:c>
      <x:c r="M66" s="331" t="str">
        <x:f>IF($K66="T", "➜", "")</x:f>
      </x:c>
      <x:c r="N66" s="332" t="str">
        <x:f>IF($K66="I", "■", "")</x:f>
      </x:c>
      <x:c r="O66" s="333" t="str">
        <x:f>IF($K66="E", "D", "")</x:f>
      </x:c>
      <x:c r="P66" s="334" t="str">
        <x:f>IF($K66="A", "▼", "")</x:f>
      </x:c>
      <x:c r="Q66" s="335"/>
      <x:c r="R66" s="335"/>
      <x:c r="S66" s="335"/>
      <x:c r="T66" s="335"/>
      <x:c r="U66" s="336" t="str">
        <x:f>IF(OR($B66="",$E66="",$K66="",AND($K66&lt;&gt;"A",$J66="")),"",IF(OR(AND($Q66&lt;&gt;"",COUNTIF($B$19:$B65,$Q66)=0),AND($R66&lt;&gt;"",COUNTIF($B$19:$B65,$R66)=0),AND($S66&lt;&gt;"",COUNTIF($B$19:$B65,$S66)=0),AND($T66&lt;&gt;"",COUNTIF($B$19:$B65,$T66)=0)),"REVISAR",MAX(IFERROR(INDEX($V$19:$V65,MATCH($Q66,$B$19:$B65,0)),0),IFERROR(INDEX($V$19:$V65,MATCH($R66,$B$19:$B65,0)),0),IFERROR(INDEX($V$19:$V65,MATCH($S66,$B$19:$B65,0)),0),IFERROR(INDEX($V$19:$V65,MATCH($T66,$B$19:$B65,0)),0))))</x:f>
      </x:c>
      <x:c r="V66" s="336" t="str">
        <x:f>IF(ISNUMBER($U66),$U66+IF($J66="",0,$J66),"")</x:f>
      </x:c>
      <x:c r="W66" s="337"/>
      <x:c r="X66" s="338" t="str">
        <x:f>IF(COUNTA($B66:$K66)+COUNTA($Q66:$T66)+COUNTA($W66)=0,"",IF($B66="","FALTA ID",IF(COUNTIF($B$19:$B$118,$B66)&gt;1,"ID REPETIDO",IF($E66="","FALTA DESCRIPCIÓN",IF($K66="","FALTA TIPO",IF(AND($K66&lt;&gt;"A",$J66=""),"FALTA TIEMPO",IF(AND($K66="T",OR($G66="",$H66="",$I66="")),"REVISAR TRANSPORTE",IF($U66="REVISAR","REVISAR PRECEDENCIA","OK"))))))))</x:f>
      </x:c>
    </x:row>
    <x:row r="67" ht="24" customHeight="1">
      <x:c r="A67" s="326" t="str">
        <x:f>IF($E67="","",COUNTA($E$19:E67))</x:f>
      </x:c>
      <x:c r="B67" s="327"/>
      <x:c r="C67" s="327"/>
      <x:c r="D67" s="327"/>
      <x:c r="E67" s="328"/>
      <x:c r="F67" s="328"/>
      <x:c r="G67" s="328"/>
      <x:c r="H67" s="328"/>
      <x:c r="I67" s="329"/>
      <x:c r="J67" s="329"/>
      <x:c r="K67" s="327"/>
      <x:c r="L67" s="330" t="str">
        <x:f>IF($K67="O", "●", "")</x:f>
      </x:c>
      <x:c r="M67" s="331" t="str">
        <x:f>IF($K67="T", "➜", "")</x:f>
      </x:c>
      <x:c r="N67" s="332" t="str">
        <x:f>IF($K67="I", "■", "")</x:f>
      </x:c>
      <x:c r="O67" s="333" t="str">
        <x:f>IF($K67="E", "D", "")</x:f>
      </x:c>
      <x:c r="P67" s="334" t="str">
        <x:f>IF($K67="A", "▼", "")</x:f>
      </x:c>
      <x:c r="Q67" s="335"/>
      <x:c r="R67" s="335"/>
      <x:c r="S67" s="335"/>
      <x:c r="T67" s="335"/>
      <x:c r="U67" s="336" t="str">
        <x:f>IF(OR($B67="",$E67="",$K67="",AND($K67&lt;&gt;"A",$J67="")),"",IF(OR(AND($Q67&lt;&gt;"",COUNTIF($B$19:$B66,$Q67)=0),AND($R67&lt;&gt;"",COUNTIF($B$19:$B66,$R67)=0),AND($S67&lt;&gt;"",COUNTIF($B$19:$B66,$S67)=0),AND($T67&lt;&gt;"",COUNTIF($B$19:$B66,$T67)=0)),"REVISAR",MAX(IFERROR(INDEX($V$19:$V66,MATCH($Q67,$B$19:$B66,0)),0),IFERROR(INDEX($V$19:$V66,MATCH($R67,$B$19:$B66,0)),0),IFERROR(INDEX($V$19:$V66,MATCH($S67,$B$19:$B66,0)),0),IFERROR(INDEX($V$19:$V66,MATCH($T67,$B$19:$B66,0)),0))))</x:f>
      </x:c>
      <x:c r="V67" s="336" t="str">
        <x:f>IF(ISNUMBER($U67),$U67+IF($J67="",0,$J67),"")</x:f>
      </x:c>
      <x:c r="W67" s="337"/>
      <x:c r="X67" s="338" t="str">
        <x:f>IF(COUNTA($B67:$K67)+COUNTA($Q67:$T67)+COUNTA($W67)=0,"",IF($B67="","FALTA ID",IF(COUNTIF($B$19:$B$118,$B67)&gt;1,"ID REPETIDO",IF($E67="","FALTA DESCRIPCIÓN",IF($K67="","FALTA TIPO",IF(AND($K67&lt;&gt;"A",$J67=""),"FALTA TIEMPO",IF(AND($K67="T",OR($G67="",$H67="",$I67="")),"REVISAR TRANSPORTE",IF($U67="REVISAR","REVISAR PRECEDENCIA","OK"))))))))</x:f>
      </x:c>
    </x:row>
    <x:row r="68" ht="24" customHeight="1">
      <x:c r="A68" s="326" t="str">
        <x:f>IF($E68="","",COUNTA($E$19:E68))</x:f>
      </x:c>
      <x:c r="B68" s="327"/>
      <x:c r="C68" s="327"/>
      <x:c r="D68" s="327"/>
      <x:c r="E68" s="328"/>
      <x:c r="F68" s="328"/>
      <x:c r="G68" s="328"/>
      <x:c r="H68" s="328"/>
      <x:c r="I68" s="329"/>
      <x:c r="J68" s="329"/>
      <x:c r="K68" s="327"/>
      <x:c r="L68" s="330" t="str">
        <x:f>IF($K68="O", "●", "")</x:f>
      </x:c>
      <x:c r="M68" s="331" t="str">
        <x:f>IF($K68="T", "➜", "")</x:f>
      </x:c>
      <x:c r="N68" s="332" t="str">
        <x:f>IF($K68="I", "■", "")</x:f>
      </x:c>
      <x:c r="O68" s="333" t="str">
        <x:f>IF($K68="E", "D", "")</x:f>
      </x:c>
      <x:c r="P68" s="334" t="str">
        <x:f>IF($K68="A", "▼", "")</x:f>
      </x:c>
      <x:c r="Q68" s="335"/>
      <x:c r="R68" s="335"/>
      <x:c r="S68" s="335"/>
      <x:c r="T68" s="335"/>
      <x:c r="U68" s="336" t="str">
        <x:f>IF(OR($B68="",$E68="",$K68="",AND($K68&lt;&gt;"A",$J68="")),"",IF(OR(AND($Q68&lt;&gt;"",COUNTIF($B$19:$B67,$Q68)=0),AND($R68&lt;&gt;"",COUNTIF($B$19:$B67,$R68)=0),AND($S68&lt;&gt;"",COUNTIF($B$19:$B67,$S68)=0),AND($T68&lt;&gt;"",COUNTIF($B$19:$B67,$T68)=0)),"REVISAR",MAX(IFERROR(INDEX($V$19:$V67,MATCH($Q68,$B$19:$B67,0)),0),IFERROR(INDEX($V$19:$V67,MATCH($R68,$B$19:$B67,0)),0),IFERROR(INDEX($V$19:$V67,MATCH($S68,$B$19:$B67,0)),0),IFERROR(INDEX($V$19:$V67,MATCH($T68,$B$19:$B67,0)),0))))</x:f>
      </x:c>
      <x:c r="V68" s="336" t="str">
        <x:f>IF(ISNUMBER($U68),$U68+IF($J68="",0,$J68),"")</x:f>
      </x:c>
      <x:c r="W68" s="337"/>
      <x:c r="X68" s="338" t="str">
        <x:f>IF(COUNTA($B68:$K68)+COUNTA($Q68:$T68)+COUNTA($W68)=0,"",IF($B68="","FALTA ID",IF(COUNTIF($B$19:$B$118,$B68)&gt;1,"ID REPETIDO",IF($E68="","FALTA DESCRIPCIÓN",IF($K68="","FALTA TIPO",IF(AND($K68&lt;&gt;"A",$J68=""),"FALTA TIEMPO",IF(AND($K68="T",OR($G68="",$H68="",$I68="")),"REVISAR TRANSPORTE",IF($U68="REVISAR","REVISAR PRECEDENCIA","OK"))))))))</x:f>
      </x:c>
    </x:row>
    <x:row r="69" ht="24" customHeight="1">
      <x:c r="A69" s="326" t="str">
        <x:f>IF($E69="","",COUNTA($E$19:E69))</x:f>
      </x:c>
      <x:c r="B69" s="327"/>
      <x:c r="C69" s="327"/>
      <x:c r="D69" s="327"/>
      <x:c r="E69" s="328"/>
      <x:c r="F69" s="328"/>
      <x:c r="G69" s="328"/>
      <x:c r="H69" s="328"/>
      <x:c r="I69" s="329"/>
      <x:c r="J69" s="329"/>
      <x:c r="K69" s="327"/>
      <x:c r="L69" s="330" t="str">
        <x:f>IF($K69="O", "●", "")</x:f>
      </x:c>
      <x:c r="M69" s="331" t="str">
        <x:f>IF($K69="T", "➜", "")</x:f>
      </x:c>
      <x:c r="N69" s="332" t="str">
        <x:f>IF($K69="I", "■", "")</x:f>
      </x:c>
      <x:c r="O69" s="333" t="str">
        <x:f>IF($K69="E", "D", "")</x:f>
      </x:c>
      <x:c r="P69" s="334" t="str">
        <x:f>IF($K69="A", "▼", "")</x:f>
      </x:c>
      <x:c r="Q69" s="335"/>
      <x:c r="R69" s="335"/>
      <x:c r="S69" s="335"/>
      <x:c r="T69" s="335"/>
      <x:c r="U69" s="336" t="str">
        <x:f>IF(OR($B69="",$E69="",$K69="",AND($K69&lt;&gt;"A",$J69="")),"",IF(OR(AND($Q69&lt;&gt;"",COUNTIF($B$19:$B68,$Q69)=0),AND($R69&lt;&gt;"",COUNTIF($B$19:$B68,$R69)=0),AND($S69&lt;&gt;"",COUNTIF($B$19:$B68,$S69)=0),AND($T69&lt;&gt;"",COUNTIF($B$19:$B68,$T69)=0)),"REVISAR",MAX(IFERROR(INDEX($V$19:$V68,MATCH($Q69,$B$19:$B68,0)),0),IFERROR(INDEX($V$19:$V68,MATCH($R69,$B$19:$B68,0)),0),IFERROR(INDEX($V$19:$V68,MATCH($S69,$B$19:$B68,0)),0),IFERROR(INDEX($V$19:$V68,MATCH($T69,$B$19:$B68,0)),0))))</x:f>
      </x:c>
      <x:c r="V69" s="336" t="str">
        <x:f>IF(ISNUMBER($U69),$U69+IF($J69="",0,$J69),"")</x:f>
      </x:c>
      <x:c r="W69" s="337"/>
      <x:c r="X69" s="338" t="str">
        <x:f>IF(COUNTA($B69:$K69)+COUNTA($Q69:$T69)+COUNTA($W69)=0,"",IF($B69="","FALTA ID",IF(COUNTIF($B$19:$B$118,$B69)&gt;1,"ID REPETIDO",IF($E69="","FALTA DESCRIPCIÓN",IF($K69="","FALTA TIPO",IF(AND($K69&lt;&gt;"A",$J69=""),"FALTA TIEMPO",IF(AND($K69="T",OR($G69="",$H69="",$I69="")),"REVISAR TRANSPORTE",IF($U69="REVISAR","REVISAR PRECEDENCIA","OK"))))))))</x:f>
      </x:c>
    </x:row>
    <x:row r="70" ht="24" customHeight="1">
      <x:c r="A70" s="326" t="str">
        <x:f>IF($E70="","",COUNTA($E$19:E70))</x:f>
      </x:c>
      <x:c r="B70" s="327"/>
      <x:c r="C70" s="327"/>
      <x:c r="D70" s="327"/>
      <x:c r="E70" s="328"/>
      <x:c r="F70" s="328"/>
      <x:c r="G70" s="328"/>
      <x:c r="H70" s="328"/>
      <x:c r="I70" s="329"/>
      <x:c r="J70" s="329"/>
      <x:c r="K70" s="327"/>
      <x:c r="L70" s="330" t="str">
        <x:f>IF($K70="O", "●", "")</x:f>
      </x:c>
      <x:c r="M70" s="331" t="str">
        <x:f>IF($K70="T", "➜", "")</x:f>
      </x:c>
      <x:c r="N70" s="332" t="str">
        <x:f>IF($K70="I", "■", "")</x:f>
      </x:c>
      <x:c r="O70" s="333" t="str">
        <x:f>IF($K70="E", "D", "")</x:f>
      </x:c>
      <x:c r="P70" s="334" t="str">
        <x:f>IF($K70="A", "▼", "")</x:f>
      </x:c>
      <x:c r="Q70" s="335"/>
      <x:c r="R70" s="335"/>
      <x:c r="S70" s="335"/>
      <x:c r="T70" s="335"/>
      <x:c r="U70" s="336" t="str">
        <x:f>IF(OR($B70="",$E70="",$K70="",AND($K70&lt;&gt;"A",$J70="")),"",IF(OR(AND($Q70&lt;&gt;"",COUNTIF($B$19:$B69,$Q70)=0),AND($R70&lt;&gt;"",COUNTIF($B$19:$B69,$R70)=0),AND($S70&lt;&gt;"",COUNTIF($B$19:$B69,$S70)=0),AND($T70&lt;&gt;"",COUNTIF($B$19:$B69,$T70)=0)),"REVISAR",MAX(IFERROR(INDEX($V$19:$V69,MATCH($Q70,$B$19:$B69,0)),0),IFERROR(INDEX($V$19:$V69,MATCH($R70,$B$19:$B69,0)),0),IFERROR(INDEX($V$19:$V69,MATCH($S70,$B$19:$B69,0)),0),IFERROR(INDEX($V$19:$V69,MATCH($T70,$B$19:$B69,0)),0))))</x:f>
      </x:c>
      <x:c r="V70" s="336" t="str">
        <x:f>IF(ISNUMBER($U70),$U70+IF($J70="",0,$J70),"")</x:f>
      </x:c>
      <x:c r="W70" s="337"/>
      <x:c r="X70" s="338" t="str">
        <x:f>IF(COUNTA($B70:$K70)+COUNTA($Q70:$T70)+COUNTA($W70)=0,"",IF($B70="","FALTA ID",IF(COUNTIF($B$19:$B$118,$B70)&gt;1,"ID REPETIDO",IF($E70="","FALTA DESCRIPCIÓN",IF($K70="","FALTA TIPO",IF(AND($K70&lt;&gt;"A",$J70=""),"FALTA TIEMPO",IF(AND($K70="T",OR($G70="",$H70="",$I70="")),"REVISAR TRANSPORTE",IF($U70="REVISAR","REVISAR PRECEDENCIA","OK"))))))))</x:f>
      </x:c>
    </x:row>
    <x:row r="71" ht="24" customHeight="1">
      <x:c r="A71" s="326" t="str">
        <x:f>IF($E71="","",COUNTA($E$19:E71))</x:f>
      </x:c>
      <x:c r="B71" s="327"/>
      <x:c r="C71" s="327"/>
      <x:c r="D71" s="327"/>
      <x:c r="E71" s="328"/>
      <x:c r="F71" s="328"/>
      <x:c r="G71" s="328"/>
      <x:c r="H71" s="328"/>
      <x:c r="I71" s="329"/>
      <x:c r="J71" s="329"/>
      <x:c r="K71" s="327"/>
      <x:c r="L71" s="330" t="str">
        <x:f>IF($K71="O", "●", "")</x:f>
      </x:c>
      <x:c r="M71" s="331" t="str">
        <x:f>IF($K71="T", "➜", "")</x:f>
      </x:c>
      <x:c r="N71" s="332" t="str">
        <x:f>IF($K71="I", "■", "")</x:f>
      </x:c>
      <x:c r="O71" s="333" t="str">
        <x:f>IF($K71="E", "D", "")</x:f>
      </x:c>
      <x:c r="P71" s="334" t="str">
        <x:f>IF($K71="A", "▼", "")</x:f>
      </x:c>
      <x:c r="Q71" s="335"/>
      <x:c r="R71" s="335"/>
      <x:c r="S71" s="335"/>
      <x:c r="T71" s="335"/>
      <x:c r="U71" s="336" t="str">
        <x:f>IF(OR($B71="",$E71="",$K71="",AND($K71&lt;&gt;"A",$J71="")),"",IF(OR(AND($Q71&lt;&gt;"",COUNTIF($B$19:$B70,$Q71)=0),AND($R71&lt;&gt;"",COUNTIF($B$19:$B70,$R71)=0),AND($S71&lt;&gt;"",COUNTIF($B$19:$B70,$S71)=0),AND($T71&lt;&gt;"",COUNTIF($B$19:$B70,$T71)=0)),"REVISAR",MAX(IFERROR(INDEX($V$19:$V70,MATCH($Q71,$B$19:$B70,0)),0),IFERROR(INDEX($V$19:$V70,MATCH($R71,$B$19:$B70,0)),0),IFERROR(INDEX($V$19:$V70,MATCH($S71,$B$19:$B70,0)),0),IFERROR(INDEX($V$19:$V70,MATCH($T71,$B$19:$B70,0)),0))))</x:f>
      </x:c>
      <x:c r="V71" s="336" t="str">
        <x:f>IF(ISNUMBER($U71),$U71+IF($J71="",0,$J71),"")</x:f>
      </x:c>
      <x:c r="W71" s="337"/>
      <x:c r="X71" s="338" t="str">
        <x:f>IF(COUNTA($B71:$K71)+COUNTA($Q71:$T71)+COUNTA($W71)=0,"",IF($B71="","FALTA ID",IF(COUNTIF($B$19:$B$118,$B71)&gt;1,"ID REPETIDO",IF($E71="","FALTA DESCRIPCIÓN",IF($K71="","FALTA TIPO",IF(AND($K71&lt;&gt;"A",$J71=""),"FALTA TIEMPO",IF(AND($K71="T",OR($G71="",$H71="",$I71="")),"REVISAR TRANSPORTE",IF($U71="REVISAR","REVISAR PRECEDENCIA","OK"))))))))</x:f>
      </x:c>
    </x:row>
    <x:row r="72" ht="24" customHeight="1">
      <x:c r="A72" s="326" t="str">
        <x:f>IF($E72="","",COUNTA($E$19:E72))</x:f>
      </x:c>
      <x:c r="B72" s="327"/>
      <x:c r="C72" s="327"/>
      <x:c r="D72" s="327"/>
      <x:c r="E72" s="328"/>
      <x:c r="F72" s="328"/>
      <x:c r="G72" s="328"/>
      <x:c r="H72" s="328"/>
      <x:c r="I72" s="329"/>
      <x:c r="J72" s="329"/>
      <x:c r="K72" s="327"/>
      <x:c r="L72" s="330" t="str">
        <x:f>IF($K72="O", "●", "")</x:f>
      </x:c>
      <x:c r="M72" s="331" t="str">
        <x:f>IF($K72="T", "➜", "")</x:f>
      </x:c>
      <x:c r="N72" s="332" t="str">
        <x:f>IF($K72="I", "■", "")</x:f>
      </x:c>
      <x:c r="O72" s="333" t="str">
        <x:f>IF($K72="E", "D", "")</x:f>
      </x:c>
      <x:c r="P72" s="334" t="str">
        <x:f>IF($K72="A", "▼", "")</x:f>
      </x:c>
      <x:c r="Q72" s="335"/>
      <x:c r="R72" s="335"/>
      <x:c r="S72" s="335"/>
      <x:c r="T72" s="335"/>
      <x:c r="U72" s="336" t="str">
        <x:f>IF(OR($B72="",$E72="",$K72="",AND($K72&lt;&gt;"A",$J72="")),"",IF(OR(AND($Q72&lt;&gt;"",COUNTIF($B$19:$B71,$Q72)=0),AND($R72&lt;&gt;"",COUNTIF($B$19:$B71,$R72)=0),AND($S72&lt;&gt;"",COUNTIF($B$19:$B71,$S72)=0),AND($T72&lt;&gt;"",COUNTIF($B$19:$B71,$T72)=0)),"REVISAR",MAX(IFERROR(INDEX($V$19:$V71,MATCH($Q72,$B$19:$B71,0)),0),IFERROR(INDEX($V$19:$V71,MATCH($R72,$B$19:$B71,0)),0),IFERROR(INDEX($V$19:$V71,MATCH($S72,$B$19:$B71,0)),0),IFERROR(INDEX($V$19:$V71,MATCH($T72,$B$19:$B71,0)),0))))</x:f>
      </x:c>
      <x:c r="V72" s="336" t="str">
        <x:f>IF(ISNUMBER($U72),$U72+IF($J72="",0,$J72),"")</x:f>
      </x:c>
      <x:c r="W72" s="337"/>
      <x:c r="X72" s="338" t="str">
        <x:f>IF(COUNTA($B72:$K72)+COUNTA($Q72:$T72)+COUNTA($W72)=0,"",IF($B72="","FALTA ID",IF(COUNTIF($B$19:$B$118,$B72)&gt;1,"ID REPETIDO",IF($E72="","FALTA DESCRIPCIÓN",IF($K72="","FALTA TIPO",IF(AND($K72&lt;&gt;"A",$J72=""),"FALTA TIEMPO",IF(AND($K72="T",OR($G72="",$H72="",$I72="")),"REVISAR TRANSPORTE",IF($U72="REVISAR","REVISAR PRECEDENCIA","OK"))))))))</x:f>
      </x:c>
    </x:row>
    <x:row r="73" ht="24" customHeight="1">
      <x:c r="A73" s="326" t="str">
        <x:f>IF($E73="","",COUNTA($E$19:E73))</x:f>
      </x:c>
      <x:c r="B73" s="327"/>
      <x:c r="C73" s="327"/>
      <x:c r="D73" s="327"/>
      <x:c r="E73" s="328"/>
      <x:c r="F73" s="328"/>
      <x:c r="G73" s="328"/>
      <x:c r="H73" s="328"/>
      <x:c r="I73" s="329"/>
      <x:c r="J73" s="329"/>
      <x:c r="K73" s="327"/>
      <x:c r="L73" s="330" t="str">
        <x:f>IF($K73="O", "●", "")</x:f>
      </x:c>
      <x:c r="M73" s="331" t="str">
        <x:f>IF($K73="T", "➜", "")</x:f>
      </x:c>
      <x:c r="N73" s="332" t="str">
        <x:f>IF($K73="I", "■", "")</x:f>
      </x:c>
      <x:c r="O73" s="333" t="str">
        <x:f>IF($K73="E", "D", "")</x:f>
      </x:c>
      <x:c r="P73" s="334" t="str">
        <x:f>IF($K73="A", "▼", "")</x:f>
      </x:c>
      <x:c r="Q73" s="335"/>
      <x:c r="R73" s="335"/>
      <x:c r="S73" s="335"/>
      <x:c r="T73" s="335"/>
      <x:c r="U73" s="336" t="str">
        <x:f>IF(OR($B73="",$E73="",$K73="",AND($K73&lt;&gt;"A",$J73="")),"",IF(OR(AND($Q73&lt;&gt;"",COUNTIF($B$19:$B72,$Q73)=0),AND($R73&lt;&gt;"",COUNTIF($B$19:$B72,$R73)=0),AND($S73&lt;&gt;"",COUNTIF($B$19:$B72,$S73)=0),AND($T73&lt;&gt;"",COUNTIF($B$19:$B72,$T73)=0)),"REVISAR",MAX(IFERROR(INDEX($V$19:$V72,MATCH($Q73,$B$19:$B72,0)),0),IFERROR(INDEX($V$19:$V72,MATCH($R73,$B$19:$B72,0)),0),IFERROR(INDEX($V$19:$V72,MATCH($S73,$B$19:$B72,0)),0),IFERROR(INDEX($V$19:$V72,MATCH($T73,$B$19:$B72,0)),0))))</x:f>
      </x:c>
      <x:c r="V73" s="336" t="str">
        <x:f>IF(ISNUMBER($U73),$U73+IF($J73="",0,$J73),"")</x:f>
      </x:c>
      <x:c r="W73" s="337"/>
      <x:c r="X73" s="338" t="str">
        <x:f>IF(COUNTA($B73:$K73)+COUNTA($Q73:$T73)+COUNTA($W73)=0,"",IF($B73="","FALTA ID",IF(COUNTIF($B$19:$B$118,$B73)&gt;1,"ID REPETIDO",IF($E73="","FALTA DESCRIPCIÓN",IF($K73="","FALTA TIPO",IF(AND($K73&lt;&gt;"A",$J73=""),"FALTA TIEMPO",IF(AND($K73="T",OR($G73="",$H73="",$I73="")),"REVISAR TRANSPORTE",IF($U73="REVISAR","REVISAR PRECEDENCIA","OK"))))))))</x:f>
      </x:c>
    </x:row>
    <x:row r="74" ht="24" customHeight="1">
      <x:c r="A74" s="326" t="str">
        <x:f>IF($E74="","",COUNTA($E$19:E74))</x:f>
      </x:c>
      <x:c r="B74" s="327"/>
      <x:c r="C74" s="327"/>
      <x:c r="D74" s="327"/>
      <x:c r="E74" s="328"/>
      <x:c r="F74" s="328"/>
      <x:c r="G74" s="328"/>
      <x:c r="H74" s="328"/>
      <x:c r="I74" s="329"/>
      <x:c r="J74" s="329"/>
      <x:c r="K74" s="327"/>
      <x:c r="L74" s="330" t="str">
        <x:f>IF($K74="O", "●", "")</x:f>
      </x:c>
      <x:c r="M74" s="331" t="str">
        <x:f>IF($K74="T", "➜", "")</x:f>
      </x:c>
      <x:c r="N74" s="332" t="str">
        <x:f>IF($K74="I", "■", "")</x:f>
      </x:c>
      <x:c r="O74" s="333" t="str">
        <x:f>IF($K74="E", "D", "")</x:f>
      </x:c>
      <x:c r="P74" s="334" t="str">
        <x:f>IF($K74="A", "▼", "")</x:f>
      </x:c>
      <x:c r="Q74" s="335"/>
      <x:c r="R74" s="335"/>
      <x:c r="S74" s="335"/>
      <x:c r="T74" s="335"/>
      <x:c r="U74" s="336" t="str">
        <x:f>IF(OR($B74="",$E74="",$K74="",AND($K74&lt;&gt;"A",$J74="")),"",IF(OR(AND($Q74&lt;&gt;"",COUNTIF($B$19:$B73,$Q74)=0),AND($R74&lt;&gt;"",COUNTIF($B$19:$B73,$R74)=0),AND($S74&lt;&gt;"",COUNTIF($B$19:$B73,$S74)=0),AND($T74&lt;&gt;"",COUNTIF($B$19:$B73,$T74)=0)),"REVISAR",MAX(IFERROR(INDEX($V$19:$V73,MATCH($Q74,$B$19:$B73,0)),0),IFERROR(INDEX($V$19:$V73,MATCH($R74,$B$19:$B73,0)),0),IFERROR(INDEX($V$19:$V73,MATCH($S74,$B$19:$B73,0)),0),IFERROR(INDEX($V$19:$V73,MATCH($T74,$B$19:$B73,0)),0))))</x:f>
      </x:c>
      <x:c r="V74" s="336" t="str">
        <x:f>IF(ISNUMBER($U74),$U74+IF($J74="",0,$J74),"")</x:f>
      </x:c>
      <x:c r="W74" s="337"/>
      <x:c r="X74" s="338" t="str">
        <x:f>IF(COUNTA($B74:$K74)+COUNTA($Q74:$T74)+COUNTA($W74)=0,"",IF($B74="","FALTA ID",IF(COUNTIF($B$19:$B$118,$B74)&gt;1,"ID REPETIDO",IF($E74="","FALTA DESCRIPCIÓN",IF($K74="","FALTA TIPO",IF(AND($K74&lt;&gt;"A",$J74=""),"FALTA TIEMPO",IF(AND($K74="T",OR($G74="",$H74="",$I74="")),"REVISAR TRANSPORTE",IF($U74="REVISAR","REVISAR PRECEDENCIA","OK"))))))))</x:f>
      </x:c>
    </x:row>
    <x:row r="75" ht="24" customHeight="1">
      <x:c r="A75" s="326" t="str">
        <x:f>IF($E75="","",COUNTA($E$19:E75))</x:f>
      </x:c>
      <x:c r="B75" s="327"/>
      <x:c r="C75" s="327"/>
      <x:c r="D75" s="327"/>
      <x:c r="E75" s="328"/>
      <x:c r="F75" s="328"/>
      <x:c r="G75" s="328"/>
      <x:c r="H75" s="328"/>
      <x:c r="I75" s="329"/>
      <x:c r="J75" s="329"/>
      <x:c r="K75" s="327"/>
      <x:c r="L75" s="330" t="str">
        <x:f>IF($K75="O", "●", "")</x:f>
      </x:c>
      <x:c r="M75" s="331" t="str">
        <x:f>IF($K75="T", "➜", "")</x:f>
      </x:c>
      <x:c r="N75" s="332" t="str">
        <x:f>IF($K75="I", "■", "")</x:f>
      </x:c>
      <x:c r="O75" s="333" t="str">
        <x:f>IF($K75="E", "D", "")</x:f>
      </x:c>
      <x:c r="P75" s="334" t="str">
        <x:f>IF($K75="A", "▼", "")</x:f>
      </x:c>
      <x:c r="Q75" s="335"/>
      <x:c r="R75" s="335"/>
      <x:c r="S75" s="335"/>
      <x:c r="T75" s="335"/>
      <x:c r="U75" s="336" t="str">
        <x:f>IF(OR($B75="",$E75="",$K75="",AND($K75&lt;&gt;"A",$J75="")),"",IF(OR(AND($Q75&lt;&gt;"",COUNTIF($B$19:$B74,$Q75)=0),AND($R75&lt;&gt;"",COUNTIF($B$19:$B74,$R75)=0),AND($S75&lt;&gt;"",COUNTIF($B$19:$B74,$S75)=0),AND($T75&lt;&gt;"",COUNTIF($B$19:$B74,$T75)=0)),"REVISAR",MAX(IFERROR(INDEX($V$19:$V74,MATCH($Q75,$B$19:$B74,0)),0),IFERROR(INDEX($V$19:$V74,MATCH($R75,$B$19:$B74,0)),0),IFERROR(INDEX($V$19:$V74,MATCH($S75,$B$19:$B74,0)),0),IFERROR(INDEX($V$19:$V74,MATCH($T75,$B$19:$B74,0)),0))))</x:f>
      </x:c>
      <x:c r="V75" s="336" t="str">
        <x:f>IF(ISNUMBER($U75),$U75+IF($J75="",0,$J75),"")</x:f>
      </x:c>
      <x:c r="W75" s="337"/>
      <x:c r="X75" s="338" t="str">
        <x:f>IF(COUNTA($B75:$K75)+COUNTA($Q75:$T75)+COUNTA($W75)=0,"",IF($B75="","FALTA ID",IF(COUNTIF($B$19:$B$118,$B75)&gt;1,"ID REPETIDO",IF($E75="","FALTA DESCRIPCIÓN",IF($K75="","FALTA TIPO",IF(AND($K75&lt;&gt;"A",$J75=""),"FALTA TIEMPO",IF(AND($K75="T",OR($G75="",$H75="",$I75="")),"REVISAR TRANSPORTE",IF($U75="REVISAR","REVISAR PRECEDENCIA","OK"))))))))</x:f>
      </x:c>
    </x:row>
    <x:row r="76" ht="24" customHeight="1">
      <x:c r="A76" s="326" t="str">
        <x:f>IF($E76="","",COUNTA($E$19:E76))</x:f>
      </x:c>
      <x:c r="B76" s="327"/>
      <x:c r="C76" s="327"/>
      <x:c r="D76" s="327"/>
      <x:c r="E76" s="328"/>
      <x:c r="F76" s="328"/>
      <x:c r="G76" s="328"/>
      <x:c r="H76" s="328"/>
      <x:c r="I76" s="329"/>
      <x:c r="J76" s="329"/>
      <x:c r="K76" s="327"/>
      <x:c r="L76" s="330" t="str">
        <x:f>IF($K76="O", "●", "")</x:f>
      </x:c>
      <x:c r="M76" s="331" t="str">
        <x:f>IF($K76="T", "➜", "")</x:f>
      </x:c>
      <x:c r="N76" s="332" t="str">
        <x:f>IF($K76="I", "■", "")</x:f>
      </x:c>
      <x:c r="O76" s="333" t="str">
        <x:f>IF($K76="E", "D", "")</x:f>
      </x:c>
      <x:c r="P76" s="334" t="str">
        <x:f>IF($K76="A", "▼", "")</x:f>
      </x:c>
      <x:c r="Q76" s="335"/>
      <x:c r="R76" s="335"/>
      <x:c r="S76" s="335"/>
      <x:c r="T76" s="335"/>
      <x:c r="U76" s="336" t="str">
        <x:f>IF(OR($B76="",$E76="",$K76="",AND($K76&lt;&gt;"A",$J76="")),"",IF(OR(AND($Q76&lt;&gt;"",COUNTIF($B$19:$B75,$Q76)=0),AND($R76&lt;&gt;"",COUNTIF($B$19:$B75,$R76)=0),AND($S76&lt;&gt;"",COUNTIF($B$19:$B75,$S76)=0),AND($T76&lt;&gt;"",COUNTIF($B$19:$B75,$T76)=0)),"REVISAR",MAX(IFERROR(INDEX($V$19:$V75,MATCH($Q76,$B$19:$B75,0)),0),IFERROR(INDEX($V$19:$V75,MATCH($R76,$B$19:$B75,0)),0),IFERROR(INDEX($V$19:$V75,MATCH($S76,$B$19:$B75,0)),0),IFERROR(INDEX($V$19:$V75,MATCH($T76,$B$19:$B75,0)),0))))</x:f>
      </x:c>
      <x:c r="V76" s="336" t="str">
        <x:f>IF(ISNUMBER($U76),$U76+IF($J76="",0,$J76),"")</x:f>
      </x:c>
      <x:c r="W76" s="337"/>
      <x:c r="X76" s="338" t="str">
        <x:f>IF(COUNTA($B76:$K76)+COUNTA($Q76:$T76)+COUNTA($W76)=0,"",IF($B76="","FALTA ID",IF(COUNTIF($B$19:$B$118,$B76)&gt;1,"ID REPETIDO",IF($E76="","FALTA DESCRIPCIÓN",IF($K76="","FALTA TIPO",IF(AND($K76&lt;&gt;"A",$J76=""),"FALTA TIEMPO",IF(AND($K76="T",OR($G76="",$H76="",$I76="")),"REVISAR TRANSPORTE",IF($U76="REVISAR","REVISAR PRECEDENCIA","OK"))))))))</x:f>
      </x:c>
    </x:row>
    <x:row r="77" ht="24" customHeight="1">
      <x:c r="A77" s="326" t="str">
        <x:f>IF($E77="","",COUNTA($E$19:E77))</x:f>
      </x:c>
      <x:c r="B77" s="327"/>
      <x:c r="C77" s="327"/>
      <x:c r="D77" s="327"/>
      <x:c r="E77" s="328"/>
      <x:c r="F77" s="328"/>
      <x:c r="G77" s="328"/>
      <x:c r="H77" s="328"/>
      <x:c r="I77" s="329"/>
      <x:c r="J77" s="329"/>
      <x:c r="K77" s="327"/>
      <x:c r="L77" s="330" t="str">
        <x:f>IF($K77="O", "●", "")</x:f>
      </x:c>
      <x:c r="M77" s="331" t="str">
        <x:f>IF($K77="T", "➜", "")</x:f>
      </x:c>
      <x:c r="N77" s="332" t="str">
        <x:f>IF($K77="I", "■", "")</x:f>
      </x:c>
      <x:c r="O77" s="333" t="str">
        <x:f>IF($K77="E", "D", "")</x:f>
      </x:c>
      <x:c r="P77" s="334" t="str">
        <x:f>IF($K77="A", "▼", "")</x:f>
      </x:c>
      <x:c r="Q77" s="335"/>
      <x:c r="R77" s="335"/>
      <x:c r="S77" s="335"/>
      <x:c r="T77" s="335"/>
      <x:c r="U77" s="336" t="str">
        <x:f>IF(OR($B77="",$E77="",$K77="",AND($K77&lt;&gt;"A",$J77="")),"",IF(OR(AND($Q77&lt;&gt;"",COUNTIF($B$19:$B76,$Q77)=0),AND($R77&lt;&gt;"",COUNTIF($B$19:$B76,$R77)=0),AND($S77&lt;&gt;"",COUNTIF($B$19:$B76,$S77)=0),AND($T77&lt;&gt;"",COUNTIF($B$19:$B76,$T77)=0)),"REVISAR",MAX(IFERROR(INDEX($V$19:$V76,MATCH($Q77,$B$19:$B76,0)),0),IFERROR(INDEX($V$19:$V76,MATCH($R77,$B$19:$B76,0)),0),IFERROR(INDEX($V$19:$V76,MATCH($S77,$B$19:$B76,0)),0),IFERROR(INDEX($V$19:$V76,MATCH($T77,$B$19:$B76,0)),0))))</x:f>
      </x:c>
      <x:c r="V77" s="336" t="str">
        <x:f>IF(ISNUMBER($U77),$U77+IF($J77="",0,$J77),"")</x:f>
      </x:c>
      <x:c r="W77" s="337"/>
      <x:c r="X77" s="338" t="str">
        <x:f>IF(COUNTA($B77:$K77)+COUNTA($Q77:$T77)+COUNTA($W77)=0,"",IF($B77="","FALTA ID",IF(COUNTIF($B$19:$B$118,$B77)&gt;1,"ID REPETIDO",IF($E77="","FALTA DESCRIPCIÓN",IF($K77="","FALTA TIPO",IF(AND($K77&lt;&gt;"A",$J77=""),"FALTA TIEMPO",IF(AND($K77="T",OR($G77="",$H77="",$I77="")),"REVISAR TRANSPORTE",IF($U77="REVISAR","REVISAR PRECEDENCIA","OK"))))))))</x:f>
      </x:c>
    </x:row>
    <x:row r="78" ht="24" customHeight="1">
      <x:c r="A78" s="326" t="str">
        <x:f>IF($E78="","",COUNTA($E$19:E78))</x:f>
      </x:c>
      <x:c r="B78" s="327"/>
      <x:c r="C78" s="327"/>
      <x:c r="D78" s="327"/>
      <x:c r="E78" s="328"/>
      <x:c r="F78" s="328"/>
      <x:c r="G78" s="328"/>
      <x:c r="H78" s="328"/>
      <x:c r="I78" s="329"/>
      <x:c r="J78" s="329"/>
      <x:c r="K78" s="327"/>
      <x:c r="L78" s="330" t="str">
        <x:f>IF($K78="O", "●", "")</x:f>
      </x:c>
      <x:c r="M78" s="331" t="str">
        <x:f>IF($K78="T", "➜", "")</x:f>
      </x:c>
      <x:c r="N78" s="332" t="str">
        <x:f>IF($K78="I", "■", "")</x:f>
      </x:c>
      <x:c r="O78" s="333" t="str">
        <x:f>IF($K78="E", "D", "")</x:f>
      </x:c>
      <x:c r="P78" s="334" t="str">
        <x:f>IF($K78="A", "▼", "")</x:f>
      </x:c>
      <x:c r="Q78" s="335"/>
      <x:c r="R78" s="335"/>
      <x:c r="S78" s="335"/>
      <x:c r="T78" s="335"/>
      <x:c r="U78" s="336" t="str">
        <x:f>IF(OR($B78="",$E78="",$K78="",AND($K78&lt;&gt;"A",$J78="")),"",IF(OR(AND($Q78&lt;&gt;"",COUNTIF($B$19:$B77,$Q78)=0),AND($R78&lt;&gt;"",COUNTIF($B$19:$B77,$R78)=0),AND($S78&lt;&gt;"",COUNTIF($B$19:$B77,$S78)=0),AND($T78&lt;&gt;"",COUNTIF($B$19:$B77,$T78)=0)),"REVISAR",MAX(IFERROR(INDEX($V$19:$V77,MATCH($Q78,$B$19:$B77,0)),0),IFERROR(INDEX($V$19:$V77,MATCH($R78,$B$19:$B77,0)),0),IFERROR(INDEX($V$19:$V77,MATCH($S78,$B$19:$B77,0)),0),IFERROR(INDEX($V$19:$V77,MATCH($T78,$B$19:$B77,0)),0))))</x:f>
      </x:c>
      <x:c r="V78" s="336" t="str">
        <x:f>IF(ISNUMBER($U78),$U78+IF($J78="",0,$J78),"")</x:f>
      </x:c>
      <x:c r="W78" s="337"/>
      <x:c r="X78" s="338" t="str">
        <x:f>IF(COUNTA($B78:$K78)+COUNTA($Q78:$T78)+COUNTA($W78)=0,"",IF($B78="","FALTA ID",IF(COUNTIF($B$19:$B$118,$B78)&gt;1,"ID REPETIDO",IF($E78="","FALTA DESCRIPCIÓN",IF($K78="","FALTA TIPO",IF(AND($K78&lt;&gt;"A",$J78=""),"FALTA TIEMPO",IF(AND($K78="T",OR($G78="",$H78="",$I78="")),"REVISAR TRANSPORTE",IF($U78="REVISAR","REVISAR PRECEDENCIA","OK"))))))))</x:f>
      </x:c>
    </x:row>
    <x:row r="79" ht="24" customHeight="1">
      <x:c r="A79" s="326" t="str">
        <x:f>IF($E79="","",COUNTA($E$19:E79))</x:f>
      </x:c>
      <x:c r="B79" s="327"/>
      <x:c r="C79" s="327"/>
      <x:c r="D79" s="327"/>
      <x:c r="E79" s="328"/>
      <x:c r="F79" s="328"/>
      <x:c r="G79" s="328"/>
      <x:c r="H79" s="328"/>
      <x:c r="I79" s="329"/>
      <x:c r="J79" s="329"/>
      <x:c r="K79" s="327"/>
      <x:c r="L79" s="330" t="str">
        <x:f>IF($K79="O", "●", "")</x:f>
      </x:c>
      <x:c r="M79" s="331" t="str">
        <x:f>IF($K79="T", "➜", "")</x:f>
      </x:c>
      <x:c r="N79" s="332" t="str">
        <x:f>IF($K79="I", "■", "")</x:f>
      </x:c>
      <x:c r="O79" s="333" t="str">
        <x:f>IF($K79="E", "D", "")</x:f>
      </x:c>
      <x:c r="P79" s="334" t="str">
        <x:f>IF($K79="A", "▼", "")</x:f>
      </x:c>
      <x:c r="Q79" s="335"/>
      <x:c r="R79" s="335"/>
      <x:c r="S79" s="335"/>
      <x:c r="T79" s="335"/>
      <x:c r="U79" s="336" t="str">
        <x:f>IF(OR($B79="",$E79="",$K79="",AND($K79&lt;&gt;"A",$J79="")),"",IF(OR(AND($Q79&lt;&gt;"",COUNTIF($B$19:$B78,$Q79)=0),AND($R79&lt;&gt;"",COUNTIF($B$19:$B78,$R79)=0),AND($S79&lt;&gt;"",COUNTIF($B$19:$B78,$S79)=0),AND($T79&lt;&gt;"",COUNTIF($B$19:$B78,$T79)=0)),"REVISAR",MAX(IFERROR(INDEX($V$19:$V78,MATCH($Q79,$B$19:$B78,0)),0),IFERROR(INDEX($V$19:$V78,MATCH($R79,$B$19:$B78,0)),0),IFERROR(INDEX($V$19:$V78,MATCH($S79,$B$19:$B78,0)),0),IFERROR(INDEX($V$19:$V78,MATCH($T79,$B$19:$B78,0)),0))))</x:f>
      </x:c>
      <x:c r="V79" s="336" t="str">
        <x:f>IF(ISNUMBER($U79),$U79+IF($J79="",0,$J79),"")</x:f>
      </x:c>
      <x:c r="W79" s="337"/>
      <x:c r="X79" s="338" t="str">
        <x:f>IF(COUNTA($B79:$K79)+COUNTA($Q79:$T79)+COUNTA($W79)=0,"",IF($B79="","FALTA ID",IF(COUNTIF($B$19:$B$118,$B79)&gt;1,"ID REPETIDO",IF($E79="","FALTA DESCRIPCIÓN",IF($K79="","FALTA TIPO",IF(AND($K79&lt;&gt;"A",$J79=""),"FALTA TIEMPO",IF(AND($K79="T",OR($G79="",$H79="",$I79="")),"REVISAR TRANSPORTE",IF($U79="REVISAR","REVISAR PRECEDENCIA","OK"))))))))</x:f>
      </x:c>
    </x:row>
    <x:row r="80" ht="24" customHeight="1">
      <x:c r="A80" s="326" t="str">
        <x:f>IF($E80="","",COUNTA($E$19:E80))</x:f>
      </x:c>
      <x:c r="B80" s="327"/>
      <x:c r="C80" s="327"/>
      <x:c r="D80" s="327"/>
      <x:c r="E80" s="328"/>
      <x:c r="F80" s="328"/>
      <x:c r="G80" s="328"/>
      <x:c r="H80" s="328"/>
      <x:c r="I80" s="329"/>
      <x:c r="J80" s="329"/>
      <x:c r="K80" s="327"/>
      <x:c r="L80" s="330" t="str">
        <x:f>IF($K80="O", "●", "")</x:f>
      </x:c>
      <x:c r="M80" s="331" t="str">
        <x:f>IF($K80="T", "➜", "")</x:f>
      </x:c>
      <x:c r="N80" s="332" t="str">
        <x:f>IF($K80="I", "■", "")</x:f>
      </x:c>
      <x:c r="O80" s="333" t="str">
        <x:f>IF($K80="E", "D", "")</x:f>
      </x:c>
      <x:c r="P80" s="334" t="str">
        <x:f>IF($K80="A", "▼", "")</x:f>
      </x:c>
      <x:c r="Q80" s="335"/>
      <x:c r="R80" s="335"/>
      <x:c r="S80" s="335"/>
      <x:c r="T80" s="335"/>
      <x:c r="U80" s="336" t="str">
        <x:f>IF(OR($B80="",$E80="",$K80="",AND($K80&lt;&gt;"A",$J80="")),"",IF(OR(AND($Q80&lt;&gt;"",COUNTIF($B$19:$B79,$Q80)=0),AND($R80&lt;&gt;"",COUNTIF($B$19:$B79,$R80)=0),AND($S80&lt;&gt;"",COUNTIF($B$19:$B79,$S80)=0),AND($T80&lt;&gt;"",COUNTIF($B$19:$B79,$T80)=0)),"REVISAR",MAX(IFERROR(INDEX($V$19:$V79,MATCH($Q80,$B$19:$B79,0)),0),IFERROR(INDEX($V$19:$V79,MATCH($R80,$B$19:$B79,0)),0),IFERROR(INDEX($V$19:$V79,MATCH($S80,$B$19:$B79,0)),0),IFERROR(INDEX($V$19:$V79,MATCH($T80,$B$19:$B79,0)),0))))</x:f>
      </x:c>
      <x:c r="V80" s="336" t="str">
        <x:f>IF(ISNUMBER($U80),$U80+IF($J80="",0,$J80),"")</x:f>
      </x:c>
      <x:c r="W80" s="337"/>
      <x:c r="X80" s="338" t="str">
        <x:f>IF(COUNTA($B80:$K80)+COUNTA($Q80:$T80)+COUNTA($W80)=0,"",IF($B80="","FALTA ID",IF(COUNTIF($B$19:$B$118,$B80)&gt;1,"ID REPETIDO",IF($E80="","FALTA DESCRIPCIÓN",IF($K80="","FALTA TIPO",IF(AND($K80&lt;&gt;"A",$J80=""),"FALTA TIEMPO",IF(AND($K80="T",OR($G80="",$H80="",$I80="")),"REVISAR TRANSPORTE",IF($U80="REVISAR","REVISAR PRECEDENCIA","OK"))))))))</x:f>
      </x:c>
    </x:row>
    <x:row r="81" ht="24" customHeight="1">
      <x:c r="A81" s="326" t="str">
        <x:f>IF($E81="","",COUNTA($E$19:E81))</x:f>
      </x:c>
      <x:c r="B81" s="327"/>
      <x:c r="C81" s="327"/>
      <x:c r="D81" s="327"/>
      <x:c r="E81" s="328"/>
      <x:c r="F81" s="328"/>
      <x:c r="G81" s="328"/>
      <x:c r="H81" s="328"/>
      <x:c r="I81" s="329"/>
      <x:c r="J81" s="329"/>
      <x:c r="K81" s="327"/>
      <x:c r="L81" s="330" t="str">
        <x:f>IF($K81="O", "●", "")</x:f>
      </x:c>
      <x:c r="M81" s="331" t="str">
        <x:f>IF($K81="T", "➜", "")</x:f>
      </x:c>
      <x:c r="N81" s="332" t="str">
        <x:f>IF($K81="I", "■", "")</x:f>
      </x:c>
      <x:c r="O81" s="333" t="str">
        <x:f>IF($K81="E", "D", "")</x:f>
      </x:c>
      <x:c r="P81" s="334" t="str">
        <x:f>IF($K81="A", "▼", "")</x:f>
      </x:c>
      <x:c r="Q81" s="335"/>
      <x:c r="R81" s="335"/>
      <x:c r="S81" s="335"/>
      <x:c r="T81" s="335"/>
      <x:c r="U81" s="336" t="str">
        <x:f>IF(OR($B81="",$E81="",$K81="",AND($K81&lt;&gt;"A",$J81="")),"",IF(OR(AND($Q81&lt;&gt;"",COUNTIF($B$19:$B80,$Q81)=0),AND($R81&lt;&gt;"",COUNTIF($B$19:$B80,$R81)=0),AND($S81&lt;&gt;"",COUNTIF($B$19:$B80,$S81)=0),AND($T81&lt;&gt;"",COUNTIF($B$19:$B80,$T81)=0)),"REVISAR",MAX(IFERROR(INDEX($V$19:$V80,MATCH($Q81,$B$19:$B80,0)),0),IFERROR(INDEX($V$19:$V80,MATCH($R81,$B$19:$B80,0)),0),IFERROR(INDEX($V$19:$V80,MATCH($S81,$B$19:$B80,0)),0),IFERROR(INDEX($V$19:$V80,MATCH($T81,$B$19:$B80,0)),0))))</x:f>
      </x:c>
      <x:c r="V81" s="336" t="str">
        <x:f>IF(ISNUMBER($U81),$U81+IF($J81="",0,$J81),"")</x:f>
      </x:c>
      <x:c r="W81" s="337"/>
      <x:c r="X81" s="338" t="str">
        <x:f>IF(COUNTA($B81:$K81)+COUNTA($Q81:$T81)+COUNTA($W81)=0,"",IF($B81="","FALTA ID",IF(COUNTIF($B$19:$B$118,$B81)&gt;1,"ID REPETIDO",IF($E81="","FALTA DESCRIPCIÓN",IF($K81="","FALTA TIPO",IF(AND($K81&lt;&gt;"A",$J81=""),"FALTA TIEMPO",IF(AND($K81="T",OR($G81="",$H81="",$I81="")),"REVISAR TRANSPORTE",IF($U81="REVISAR","REVISAR PRECEDENCIA","OK"))))))))</x:f>
      </x:c>
    </x:row>
    <x:row r="82" ht="24" customHeight="1">
      <x:c r="A82" s="326" t="str">
        <x:f>IF($E82="","",COUNTA($E$19:E82))</x:f>
      </x:c>
      <x:c r="B82" s="327"/>
      <x:c r="C82" s="327"/>
      <x:c r="D82" s="327"/>
      <x:c r="E82" s="328"/>
      <x:c r="F82" s="328"/>
      <x:c r="G82" s="328"/>
      <x:c r="H82" s="328"/>
      <x:c r="I82" s="329"/>
      <x:c r="J82" s="329"/>
      <x:c r="K82" s="327"/>
      <x:c r="L82" s="330" t="str">
        <x:f>IF($K82="O", "●", "")</x:f>
      </x:c>
      <x:c r="M82" s="331" t="str">
        <x:f>IF($K82="T", "➜", "")</x:f>
      </x:c>
      <x:c r="N82" s="332" t="str">
        <x:f>IF($K82="I", "■", "")</x:f>
      </x:c>
      <x:c r="O82" s="333" t="str">
        <x:f>IF($K82="E", "D", "")</x:f>
      </x:c>
      <x:c r="P82" s="334" t="str">
        <x:f>IF($K82="A", "▼", "")</x:f>
      </x:c>
      <x:c r="Q82" s="335"/>
      <x:c r="R82" s="335"/>
      <x:c r="S82" s="335"/>
      <x:c r="T82" s="335"/>
      <x:c r="U82" s="336" t="str">
        <x:f>IF(OR($B82="",$E82="",$K82="",AND($K82&lt;&gt;"A",$J82="")),"",IF(OR(AND($Q82&lt;&gt;"",COUNTIF($B$19:$B81,$Q82)=0),AND($R82&lt;&gt;"",COUNTIF($B$19:$B81,$R82)=0),AND($S82&lt;&gt;"",COUNTIF($B$19:$B81,$S82)=0),AND($T82&lt;&gt;"",COUNTIF($B$19:$B81,$T82)=0)),"REVISAR",MAX(IFERROR(INDEX($V$19:$V81,MATCH($Q82,$B$19:$B81,0)),0),IFERROR(INDEX($V$19:$V81,MATCH($R82,$B$19:$B81,0)),0),IFERROR(INDEX($V$19:$V81,MATCH($S82,$B$19:$B81,0)),0),IFERROR(INDEX($V$19:$V81,MATCH($T82,$B$19:$B81,0)),0))))</x:f>
      </x:c>
      <x:c r="V82" s="336" t="str">
        <x:f>IF(ISNUMBER($U82),$U82+IF($J82="",0,$J82),"")</x:f>
      </x:c>
      <x:c r="W82" s="337"/>
      <x:c r="X82" s="338" t="str">
        <x:f>IF(COUNTA($B82:$K82)+COUNTA($Q82:$T82)+COUNTA($W82)=0,"",IF($B82="","FALTA ID",IF(COUNTIF($B$19:$B$118,$B82)&gt;1,"ID REPETIDO",IF($E82="","FALTA DESCRIPCIÓN",IF($K82="","FALTA TIPO",IF(AND($K82&lt;&gt;"A",$J82=""),"FALTA TIEMPO",IF(AND($K82="T",OR($G82="",$H82="",$I82="")),"REVISAR TRANSPORTE",IF($U82="REVISAR","REVISAR PRECEDENCIA","OK"))))))))</x:f>
      </x:c>
    </x:row>
    <x:row r="83" ht="24" customHeight="1">
      <x:c r="A83" s="326" t="str">
        <x:f>IF($E83="","",COUNTA($E$19:E83))</x:f>
      </x:c>
      <x:c r="B83" s="327"/>
      <x:c r="C83" s="327"/>
      <x:c r="D83" s="327"/>
      <x:c r="E83" s="328"/>
      <x:c r="F83" s="328"/>
      <x:c r="G83" s="328"/>
      <x:c r="H83" s="328"/>
      <x:c r="I83" s="329"/>
      <x:c r="J83" s="329"/>
      <x:c r="K83" s="327"/>
      <x:c r="L83" s="330" t="str">
        <x:f>IF($K83="O", "●", "")</x:f>
      </x:c>
      <x:c r="M83" s="331" t="str">
        <x:f>IF($K83="T", "➜", "")</x:f>
      </x:c>
      <x:c r="N83" s="332" t="str">
        <x:f>IF($K83="I", "■", "")</x:f>
      </x:c>
      <x:c r="O83" s="333" t="str">
        <x:f>IF($K83="E", "D", "")</x:f>
      </x:c>
      <x:c r="P83" s="334" t="str">
        <x:f>IF($K83="A", "▼", "")</x:f>
      </x:c>
      <x:c r="Q83" s="335"/>
      <x:c r="R83" s="335"/>
      <x:c r="S83" s="335"/>
      <x:c r="T83" s="335"/>
      <x:c r="U83" s="336" t="str">
        <x:f>IF(OR($B83="",$E83="",$K83="",AND($K83&lt;&gt;"A",$J83="")),"",IF(OR(AND($Q83&lt;&gt;"",COUNTIF($B$19:$B82,$Q83)=0),AND($R83&lt;&gt;"",COUNTIF($B$19:$B82,$R83)=0),AND($S83&lt;&gt;"",COUNTIF($B$19:$B82,$S83)=0),AND($T83&lt;&gt;"",COUNTIF($B$19:$B82,$T83)=0)),"REVISAR",MAX(IFERROR(INDEX($V$19:$V82,MATCH($Q83,$B$19:$B82,0)),0),IFERROR(INDEX($V$19:$V82,MATCH($R83,$B$19:$B82,0)),0),IFERROR(INDEX($V$19:$V82,MATCH($S83,$B$19:$B82,0)),0),IFERROR(INDEX($V$19:$V82,MATCH($T83,$B$19:$B82,0)),0))))</x:f>
      </x:c>
      <x:c r="V83" s="336" t="str">
        <x:f>IF(ISNUMBER($U83),$U83+IF($J83="",0,$J83),"")</x:f>
      </x:c>
      <x:c r="W83" s="337"/>
      <x:c r="X83" s="338" t="str">
        <x:f>IF(COUNTA($B83:$K83)+COUNTA($Q83:$T83)+COUNTA($W83)=0,"",IF($B83="","FALTA ID",IF(COUNTIF($B$19:$B$118,$B83)&gt;1,"ID REPETIDO",IF($E83="","FALTA DESCRIPCIÓN",IF($K83="","FALTA TIPO",IF(AND($K83&lt;&gt;"A",$J83=""),"FALTA TIEMPO",IF(AND($K83="T",OR($G83="",$H83="",$I83="")),"REVISAR TRANSPORTE",IF($U83="REVISAR","REVISAR PRECEDENCIA","OK"))))))))</x:f>
      </x:c>
    </x:row>
    <x:row r="84" ht="24" customHeight="1">
      <x:c r="A84" s="326" t="str">
        <x:f>IF($E84="","",COUNTA($E$19:E84))</x:f>
      </x:c>
      <x:c r="B84" s="327"/>
      <x:c r="C84" s="327"/>
      <x:c r="D84" s="327"/>
      <x:c r="E84" s="328"/>
      <x:c r="F84" s="328"/>
      <x:c r="G84" s="328"/>
      <x:c r="H84" s="328"/>
      <x:c r="I84" s="329"/>
      <x:c r="J84" s="329"/>
      <x:c r="K84" s="327"/>
      <x:c r="L84" s="330" t="str">
        <x:f>IF($K84="O", "●", "")</x:f>
      </x:c>
      <x:c r="M84" s="331" t="str">
        <x:f>IF($K84="T", "➜", "")</x:f>
      </x:c>
      <x:c r="N84" s="332" t="str">
        <x:f>IF($K84="I", "■", "")</x:f>
      </x:c>
      <x:c r="O84" s="333" t="str">
        <x:f>IF($K84="E", "D", "")</x:f>
      </x:c>
      <x:c r="P84" s="334" t="str">
        <x:f>IF($K84="A", "▼", "")</x:f>
      </x:c>
      <x:c r="Q84" s="335"/>
      <x:c r="R84" s="335"/>
      <x:c r="S84" s="335"/>
      <x:c r="T84" s="335"/>
      <x:c r="U84" s="336" t="str">
        <x:f>IF(OR($B84="",$E84="",$K84="",AND($K84&lt;&gt;"A",$J84="")),"",IF(OR(AND($Q84&lt;&gt;"",COUNTIF($B$19:$B83,$Q84)=0),AND($R84&lt;&gt;"",COUNTIF($B$19:$B83,$R84)=0),AND($S84&lt;&gt;"",COUNTIF($B$19:$B83,$S84)=0),AND($T84&lt;&gt;"",COUNTIF($B$19:$B83,$T84)=0)),"REVISAR",MAX(IFERROR(INDEX($V$19:$V83,MATCH($Q84,$B$19:$B83,0)),0),IFERROR(INDEX($V$19:$V83,MATCH($R84,$B$19:$B83,0)),0),IFERROR(INDEX($V$19:$V83,MATCH($S84,$B$19:$B83,0)),0),IFERROR(INDEX($V$19:$V83,MATCH($T84,$B$19:$B83,0)),0))))</x:f>
      </x:c>
      <x:c r="V84" s="336" t="str">
        <x:f>IF(ISNUMBER($U84),$U84+IF($J84="",0,$J84),"")</x:f>
      </x:c>
      <x:c r="W84" s="337"/>
      <x:c r="X84" s="338" t="str">
        <x:f>IF(COUNTA($B84:$K84)+COUNTA($Q84:$T84)+COUNTA($W84)=0,"",IF($B84="","FALTA ID",IF(COUNTIF($B$19:$B$118,$B84)&gt;1,"ID REPETIDO",IF($E84="","FALTA DESCRIPCIÓN",IF($K84="","FALTA TIPO",IF(AND($K84&lt;&gt;"A",$J84=""),"FALTA TIEMPO",IF(AND($K84="T",OR($G84="",$H84="",$I84="")),"REVISAR TRANSPORTE",IF($U84="REVISAR","REVISAR PRECEDENCIA","OK"))))))))</x:f>
      </x:c>
    </x:row>
    <x:row r="85" ht="24" customHeight="1">
      <x:c r="A85" s="326" t="str">
        <x:f>IF($E85="","",COUNTA($E$19:E85))</x:f>
      </x:c>
      <x:c r="B85" s="327"/>
      <x:c r="C85" s="327"/>
      <x:c r="D85" s="327"/>
      <x:c r="E85" s="328"/>
      <x:c r="F85" s="328"/>
      <x:c r="G85" s="328"/>
      <x:c r="H85" s="328"/>
      <x:c r="I85" s="329"/>
      <x:c r="J85" s="329"/>
      <x:c r="K85" s="327"/>
      <x:c r="L85" s="330" t="str">
        <x:f>IF($K85="O", "●", "")</x:f>
      </x:c>
      <x:c r="M85" s="331" t="str">
        <x:f>IF($K85="T", "➜", "")</x:f>
      </x:c>
      <x:c r="N85" s="332" t="str">
        <x:f>IF($K85="I", "■", "")</x:f>
      </x:c>
      <x:c r="O85" s="333" t="str">
        <x:f>IF($K85="E", "D", "")</x:f>
      </x:c>
      <x:c r="P85" s="334" t="str">
        <x:f>IF($K85="A", "▼", "")</x:f>
      </x:c>
      <x:c r="Q85" s="335"/>
      <x:c r="R85" s="335"/>
      <x:c r="S85" s="335"/>
      <x:c r="T85" s="335"/>
      <x:c r="U85" s="336" t="str">
        <x:f>IF(OR($B85="",$E85="",$K85="",AND($K85&lt;&gt;"A",$J85="")),"",IF(OR(AND($Q85&lt;&gt;"",COUNTIF($B$19:$B84,$Q85)=0),AND($R85&lt;&gt;"",COUNTIF($B$19:$B84,$R85)=0),AND($S85&lt;&gt;"",COUNTIF($B$19:$B84,$S85)=0),AND($T85&lt;&gt;"",COUNTIF($B$19:$B84,$T85)=0)),"REVISAR",MAX(IFERROR(INDEX($V$19:$V84,MATCH($Q85,$B$19:$B84,0)),0),IFERROR(INDEX($V$19:$V84,MATCH($R85,$B$19:$B84,0)),0),IFERROR(INDEX($V$19:$V84,MATCH($S85,$B$19:$B84,0)),0),IFERROR(INDEX($V$19:$V84,MATCH($T85,$B$19:$B84,0)),0))))</x:f>
      </x:c>
      <x:c r="V85" s="336" t="str">
        <x:f>IF(ISNUMBER($U85),$U85+IF($J85="",0,$J85),"")</x:f>
      </x:c>
      <x:c r="W85" s="337"/>
      <x:c r="X85" s="338" t="str">
        <x:f>IF(COUNTA($B85:$K85)+COUNTA($Q85:$T85)+COUNTA($W85)=0,"",IF($B85="","FALTA ID",IF(COUNTIF($B$19:$B$118,$B85)&gt;1,"ID REPETIDO",IF($E85="","FALTA DESCRIPCIÓN",IF($K85="","FALTA TIPO",IF(AND($K85&lt;&gt;"A",$J85=""),"FALTA TIEMPO",IF(AND($K85="T",OR($G85="",$H85="",$I85="")),"REVISAR TRANSPORTE",IF($U85="REVISAR","REVISAR PRECEDENCIA","OK"))))))))</x:f>
      </x:c>
    </x:row>
    <x:row r="86" ht="24" customHeight="1">
      <x:c r="A86" s="326" t="str">
        <x:f>IF($E86="","",COUNTA($E$19:E86))</x:f>
      </x:c>
      <x:c r="B86" s="327"/>
      <x:c r="C86" s="327"/>
      <x:c r="D86" s="327"/>
      <x:c r="E86" s="328"/>
      <x:c r="F86" s="328"/>
      <x:c r="G86" s="328"/>
      <x:c r="H86" s="328"/>
      <x:c r="I86" s="329"/>
      <x:c r="J86" s="329"/>
      <x:c r="K86" s="327"/>
      <x:c r="L86" s="330" t="str">
        <x:f>IF($K86="O", "●", "")</x:f>
      </x:c>
      <x:c r="M86" s="331" t="str">
        <x:f>IF($K86="T", "➜", "")</x:f>
      </x:c>
      <x:c r="N86" s="332" t="str">
        <x:f>IF($K86="I", "■", "")</x:f>
      </x:c>
      <x:c r="O86" s="333" t="str">
        <x:f>IF($K86="E", "D", "")</x:f>
      </x:c>
      <x:c r="P86" s="334" t="str">
        <x:f>IF($K86="A", "▼", "")</x:f>
      </x:c>
      <x:c r="Q86" s="335"/>
      <x:c r="R86" s="335"/>
      <x:c r="S86" s="335"/>
      <x:c r="T86" s="335"/>
      <x:c r="U86" s="336" t="str">
        <x:f>IF(OR($B86="",$E86="",$K86="",AND($K86&lt;&gt;"A",$J86="")),"",IF(OR(AND($Q86&lt;&gt;"",COUNTIF($B$19:$B85,$Q86)=0),AND($R86&lt;&gt;"",COUNTIF($B$19:$B85,$R86)=0),AND($S86&lt;&gt;"",COUNTIF($B$19:$B85,$S86)=0),AND($T86&lt;&gt;"",COUNTIF($B$19:$B85,$T86)=0)),"REVISAR",MAX(IFERROR(INDEX($V$19:$V85,MATCH($Q86,$B$19:$B85,0)),0),IFERROR(INDEX($V$19:$V85,MATCH($R86,$B$19:$B85,0)),0),IFERROR(INDEX($V$19:$V85,MATCH($S86,$B$19:$B85,0)),0),IFERROR(INDEX($V$19:$V85,MATCH($T86,$B$19:$B85,0)),0))))</x:f>
      </x:c>
      <x:c r="V86" s="336" t="str">
        <x:f>IF(ISNUMBER($U86),$U86+IF($J86="",0,$J86),"")</x:f>
      </x:c>
      <x:c r="W86" s="337"/>
      <x:c r="X86" s="338" t="str">
        <x:f>IF(COUNTA($B86:$K86)+COUNTA($Q86:$T86)+COUNTA($W86)=0,"",IF($B86="","FALTA ID",IF(COUNTIF($B$19:$B$118,$B86)&gt;1,"ID REPETIDO",IF($E86="","FALTA DESCRIPCIÓN",IF($K86="","FALTA TIPO",IF(AND($K86&lt;&gt;"A",$J86=""),"FALTA TIEMPO",IF(AND($K86="T",OR($G86="",$H86="",$I86="")),"REVISAR TRANSPORTE",IF($U86="REVISAR","REVISAR PRECEDENCIA","OK"))))))))</x:f>
      </x:c>
    </x:row>
    <x:row r="87" ht="24" customHeight="1">
      <x:c r="A87" s="326" t="str">
        <x:f>IF($E87="","",COUNTA($E$19:E87))</x:f>
      </x:c>
      <x:c r="B87" s="327"/>
      <x:c r="C87" s="327"/>
      <x:c r="D87" s="327"/>
      <x:c r="E87" s="328"/>
      <x:c r="F87" s="328"/>
      <x:c r="G87" s="328"/>
      <x:c r="H87" s="328"/>
      <x:c r="I87" s="329"/>
      <x:c r="J87" s="329"/>
      <x:c r="K87" s="327"/>
      <x:c r="L87" s="330" t="str">
        <x:f>IF($K87="O", "●", "")</x:f>
      </x:c>
      <x:c r="M87" s="331" t="str">
        <x:f>IF($K87="T", "➜", "")</x:f>
      </x:c>
      <x:c r="N87" s="332" t="str">
        <x:f>IF($K87="I", "■", "")</x:f>
      </x:c>
      <x:c r="O87" s="333" t="str">
        <x:f>IF($K87="E", "D", "")</x:f>
      </x:c>
      <x:c r="P87" s="334" t="str">
        <x:f>IF($K87="A", "▼", "")</x:f>
      </x:c>
      <x:c r="Q87" s="335"/>
      <x:c r="R87" s="335"/>
      <x:c r="S87" s="335"/>
      <x:c r="T87" s="335"/>
      <x:c r="U87" s="336" t="str">
        <x:f>IF(OR($B87="",$E87="",$K87="",AND($K87&lt;&gt;"A",$J87="")),"",IF(OR(AND($Q87&lt;&gt;"",COUNTIF($B$19:$B86,$Q87)=0),AND($R87&lt;&gt;"",COUNTIF($B$19:$B86,$R87)=0),AND($S87&lt;&gt;"",COUNTIF($B$19:$B86,$S87)=0),AND($T87&lt;&gt;"",COUNTIF($B$19:$B86,$T87)=0)),"REVISAR",MAX(IFERROR(INDEX($V$19:$V86,MATCH($Q87,$B$19:$B86,0)),0),IFERROR(INDEX($V$19:$V86,MATCH($R87,$B$19:$B86,0)),0),IFERROR(INDEX($V$19:$V86,MATCH($S87,$B$19:$B86,0)),0),IFERROR(INDEX($V$19:$V86,MATCH($T87,$B$19:$B86,0)),0))))</x:f>
      </x:c>
      <x:c r="V87" s="336" t="str">
        <x:f>IF(ISNUMBER($U87),$U87+IF($J87="",0,$J87),"")</x:f>
      </x:c>
      <x:c r="W87" s="337"/>
      <x:c r="X87" s="338" t="str">
        <x:f>IF(COUNTA($B87:$K87)+COUNTA($Q87:$T87)+COUNTA($W87)=0,"",IF($B87="","FALTA ID",IF(COUNTIF($B$19:$B$118,$B87)&gt;1,"ID REPETIDO",IF($E87="","FALTA DESCRIPCIÓN",IF($K87="","FALTA TIPO",IF(AND($K87&lt;&gt;"A",$J87=""),"FALTA TIEMPO",IF(AND($K87="T",OR($G87="",$H87="",$I87="")),"REVISAR TRANSPORTE",IF($U87="REVISAR","REVISAR PRECEDENCIA","OK"))))))))</x:f>
      </x:c>
    </x:row>
    <x:row r="88" ht="24" customHeight="1">
      <x:c r="A88" s="326" t="str">
        <x:f>IF($E88="","",COUNTA($E$19:E88))</x:f>
      </x:c>
      <x:c r="B88" s="327"/>
      <x:c r="C88" s="327"/>
      <x:c r="D88" s="327"/>
      <x:c r="E88" s="328"/>
      <x:c r="F88" s="328"/>
      <x:c r="G88" s="328"/>
      <x:c r="H88" s="328"/>
      <x:c r="I88" s="329"/>
      <x:c r="J88" s="329"/>
      <x:c r="K88" s="327"/>
      <x:c r="L88" s="330" t="str">
        <x:f>IF($K88="O", "●", "")</x:f>
      </x:c>
      <x:c r="M88" s="331" t="str">
        <x:f>IF($K88="T", "➜", "")</x:f>
      </x:c>
      <x:c r="N88" s="332" t="str">
        <x:f>IF($K88="I", "■", "")</x:f>
      </x:c>
      <x:c r="O88" s="333" t="str">
        <x:f>IF($K88="E", "D", "")</x:f>
      </x:c>
      <x:c r="P88" s="334" t="str">
        <x:f>IF($K88="A", "▼", "")</x:f>
      </x:c>
      <x:c r="Q88" s="335"/>
      <x:c r="R88" s="335"/>
      <x:c r="S88" s="335"/>
      <x:c r="T88" s="335"/>
      <x:c r="U88" s="336" t="str">
        <x:f>IF(OR($B88="",$E88="",$K88="",AND($K88&lt;&gt;"A",$J88="")),"",IF(OR(AND($Q88&lt;&gt;"",COUNTIF($B$19:$B87,$Q88)=0),AND($R88&lt;&gt;"",COUNTIF($B$19:$B87,$R88)=0),AND($S88&lt;&gt;"",COUNTIF($B$19:$B87,$S88)=0),AND($T88&lt;&gt;"",COUNTIF($B$19:$B87,$T88)=0)),"REVISAR",MAX(IFERROR(INDEX($V$19:$V87,MATCH($Q88,$B$19:$B87,0)),0),IFERROR(INDEX($V$19:$V87,MATCH($R88,$B$19:$B87,0)),0),IFERROR(INDEX($V$19:$V87,MATCH($S88,$B$19:$B87,0)),0),IFERROR(INDEX($V$19:$V87,MATCH($T88,$B$19:$B87,0)),0))))</x:f>
      </x:c>
      <x:c r="V88" s="336" t="str">
        <x:f>IF(ISNUMBER($U88),$U88+IF($J88="",0,$J88),"")</x:f>
      </x:c>
      <x:c r="W88" s="337"/>
      <x:c r="X88" s="338" t="str">
        <x:f>IF(COUNTA($B88:$K88)+COUNTA($Q88:$T88)+COUNTA($W88)=0,"",IF($B88="","FALTA ID",IF(COUNTIF($B$19:$B$118,$B88)&gt;1,"ID REPETIDO",IF($E88="","FALTA DESCRIPCIÓN",IF($K88="","FALTA TIPO",IF(AND($K88&lt;&gt;"A",$J88=""),"FALTA TIEMPO",IF(AND($K88="T",OR($G88="",$H88="",$I88="")),"REVISAR TRANSPORTE",IF($U88="REVISAR","REVISAR PRECEDENCIA","OK"))))))))</x:f>
      </x:c>
    </x:row>
    <x:row r="89" ht="24" customHeight="1">
      <x:c r="A89" s="326" t="str">
        <x:f>IF($E89="","",COUNTA($E$19:E89))</x:f>
      </x:c>
      <x:c r="B89" s="327"/>
      <x:c r="C89" s="327"/>
      <x:c r="D89" s="327"/>
      <x:c r="E89" s="328"/>
      <x:c r="F89" s="328"/>
      <x:c r="G89" s="328"/>
      <x:c r="H89" s="328"/>
      <x:c r="I89" s="329"/>
      <x:c r="J89" s="329"/>
      <x:c r="K89" s="327"/>
      <x:c r="L89" s="330" t="str">
        <x:f>IF($K89="O", "●", "")</x:f>
      </x:c>
      <x:c r="M89" s="331" t="str">
        <x:f>IF($K89="T", "➜", "")</x:f>
      </x:c>
      <x:c r="N89" s="332" t="str">
        <x:f>IF($K89="I", "■", "")</x:f>
      </x:c>
      <x:c r="O89" s="333" t="str">
        <x:f>IF($K89="E", "D", "")</x:f>
      </x:c>
      <x:c r="P89" s="334" t="str">
        <x:f>IF($K89="A", "▼", "")</x:f>
      </x:c>
      <x:c r="Q89" s="335"/>
      <x:c r="R89" s="335"/>
      <x:c r="S89" s="335"/>
      <x:c r="T89" s="335"/>
      <x:c r="U89" s="336" t="str">
        <x:f>IF(OR($B89="",$E89="",$K89="",AND($K89&lt;&gt;"A",$J89="")),"",IF(OR(AND($Q89&lt;&gt;"",COUNTIF($B$19:$B88,$Q89)=0),AND($R89&lt;&gt;"",COUNTIF($B$19:$B88,$R89)=0),AND($S89&lt;&gt;"",COUNTIF($B$19:$B88,$S89)=0),AND($T89&lt;&gt;"",COUNTIF($B$19:$B88,$T89)=0)),"REVISAR",MAX(IFERROR(INDEX($V$19:$V88,MATCH($Q89,$B$19:$B88,0)),0),IFERROR(INDEX($V$19:$V88,MATCH($R89,$B$19:$B88,0)),0),IFERROR(INDEX($V$19:$V88,MATCH($S89,$B$19:$B88,0)),0),IFERROR(INDEX($V$19:$V88,MATCH($T89,$B$19:$B88,0)),0))))</x:f>
      </x:c>
      <x:c r="V89" s="336" t="str">
        <x:f>IF(ISNUMBER($U89),$U89+IF($J89="",0,$J89),"")</x:f>
      </x:c>
      <x:c r="W89" s="337"/>
      <x:c r="X89" s="338" t="str">
        <x:f>IF(COUNTA($B89:$K89)+COUNTA($Q89:$T89)+COUNTA($W89)=0,"",IF($B89="","FALTA ID",IF(COUNTIF($B$19:$B$118,$B89)&gt;1,"ID REPETIDO",IF($E89="","FALTA DESCRIPCIÓN",IF($K89="","FALTA TIPO",IF(AND($K89&lt;&gt;"A",$J89=""),"FALTA TIEMPO",IF(AND($K89="T",OR($G89="",$H89="",$I89="")),"REVISAR TRANSPORTE",IF($U89="REVISAR","REVISAR PRECEDENCIA","OK"))))))))</x:f>
      </x:c>
    </x:row>
    <x:row r="90" ht="24" customHeight="1">
      <x:c r="A90" s="326" t="str">
        <x:f>IF($E90="","",COUNTA($E$19:E90))</x:f>
      </x:c>
      <x:c r="B90" s="327"/>
      <x:c r="C90" s="327"/>
      <x:c r="D90" s="327"/>
      <x:c r="E90" s="328"/>
      <x:c r="F90" s="328"/>
      <x:c r="G90" s="328"/>
      <x:c r="H90" s="328"/>
      <x:c r="I90" s="329"/>
      <x:c r="J90" s="329"/>
      <x:c r="K90" s="327"/>
      <x:c r="L90" s="330" t="str">
        <x:f>IF($K90="O", "●", "")</x:f>
      </x:c>
      <x:c r="M90" s="331" t="str">
        <x:f>IF($K90="T", "➜", "")</x:f>
      </x:c>
      <x:c r="N90" s="332" t="str">
        <x:f>IF($K90="I", "■", "")</x:f>
      </x:c>
      <x:c r="O90" s="333" t="str">
        <x:f>IF($K90="E", "D", "")</x:f>
      </x:c>
      <x:c r="P90" s="334" t="str">
        <x:f>IF($K90="A", "▼", "")</x:f>
      </x:c>
      <x:c r="Q90" s="335"/>
      <x:c r="R90" s="335"/>
      <x:c r="S90" s="335"/>
      <x:c r="T90" s="335"/>
      <x:c r="U90" s="336" t="str">
        <x:f>IF(OR($B90="",$E90="",$K90="",AND($K90&lt;&gt;"A",$J90="")),"",IF(OR(AND($Q90&lt;&gt;"",COUNTIF($B$19:$B89,$Q90)=0),AND($R90&lt;&gt;"",COUNTIF($B$19:$B89,$R90)=0),AND($S90&lt;&gt;"",COUNTIF($B$19:$B89,$S90)=0),AND($T90&lt;&gt;"",COUNTIF($B$19:$B89,$T90)=0)),"REVISAR",MAX(IFERROR(INDEX($V$19:$V89,MATCH($Q90,$B$19:$B89,0)),0),IFERROR(INDEX($V$19:$V89,MATCH($R90,$B$19:$B89,0)),0),IFERROR(INDEX($V$19:$V89,MATCH($S90,$B$19:$B89,0)),0),IFERROR(INDEX($V$19:$V89,MATCH($T90,$B$19:$B89,0)),0))))</x:f>
      </x:c>
      <x:c r="V90" s="336" t="str">
        <x:f>IF(ISNUMBER($U90),$U90+IF($J90="",0,$J90),"")</x:f>
      </x:c>
      <x:c r="W90" s="337"/>
      <x:c r="X90" s="338" t="str">
        <x:f>IF(COUNTA($B90:$K90)+COUNTA($Q90:$T90)+COUNTA($W90)=0,"",IF($B90="","FALTA ID",IF(COUNTIF($B$19:$B$118,$B90)&gt;1,"ID REPETIDO",IF($E90="","FALTA DESCRIPCIÓN",IF($K90="","FALTA TIPO",IF(AND($K90&lt;&gt;"A",$J90=""),"FALTA TIEMPO",IF(AND($K90="T",OR($G90="",$H90="",$I90="")),"REVISAR TRANSPORTE",IF($U90="REVISAR","REVISAR PRECEDENCIA","OK"))))))))</x:f>
      </x:c>
    </x:row>
    <x:row r="91" ht="24" customHeight="1">
      <x:c r="A91" s="326" t="str">
        <x:f>IF($E91="","",COUNTA($E$19:E91))</x:f>
      </x:c>
      <x:c r="B91" s="327"/>
      <x:c r="C91" s="327"/>
      <x:c r="D91" s="327"/>
      <x:c r="E91" s="328"/>
      <x:c r="F91" s="328"/>
      <x:c r="G91" s="328"/>
      <x:c r="H91" s="328"/>
      <x:c r="I91" s="329"/>
      <x:c r="J91" s="329"/>
      <x:c r="K91" s="327"/>
      <x:c r="L91" s="330" t="str">
        <x:f>IF($K91="O", "●", "")</x:f>
      </x:c>
      <x:c r="M91" s="331" t="str">
        <x:f>IF($K91="T", "➜", "")</x:f>
      </x:c>
      <x:c r="N91" s="332" t="str">
        <x:f>IF($K91="I", "■", "")</x:f>
      </x:c>
      <x:c r="O91" s="333" t="str">
        <x:f>IF($K91="E", "D", "")</x:f>
      </x:c>
      <x:c r="P91" s="334" t="str">
        <x:f>IF($K91="A", "▼", "")</x:f>
      </x:c>
      <x:c r="Q91" s="335"/>
      <x:c r="R91" s="335"/>
      <x:c r="S91" s="335"/>
      <x:c r="T91" s="335"/>
      <x:c r="U91" s="336" t="str">
        <x:f>IF(OR($B91="",$E91="",$K91="",AND($K91&lt;&gt;"A",$J91="")),"",IF(OR(AND($Q91&lt;&gt;"",COUNTIF($B$19:$B90,$Q91)=0),AND($R91&lt;&gt;"",COUNTIF($B$19:$B90,$R91)=0),AND($S91&lt;&gt;"",COUNTIF($B$19:$B90,$S91)=0),AND($T91&lt;&gt;"",COUNTIF($B$19:$B90,$T91)=0)),"REVISAR",MAX(IFERROR(INDEX($V$19:$V90,MATCH($Q91,$B$19:$B90,0)),0),IFERROR(INDEX($V$19:$V90,MATCH($R91,$B$19:$B90,0)),0),IFERROR(INDEX($V$19:$V90,MATCH($S91,$B$19:$B90,0)),0),IFERROR(INDEX($V$19:$V90,MATCH($T91,$B$19:$B90,0)),0))))</x:f>
      </x:c>
      <x:c r="V91" s="336" t="str">
        <x:f>IF(ISNUMBER($U91),$U91+IF($J91="",0,$J91),"")</x:f>
      </x:c>
      <x:c r="W91" s="337"/>
      <x:c r="X91" s="338" t="str">
        <x:f>IF(COUNTA($B91:$K91)+COUNTA($Q91:$T91)+COUNTA($W91)=0,"",IF($B91="","FALTA ID",IF(COUNTIF($B$19:$B$118,$B91)&gt;1,"ID REPETIDO",IF($E91="","FALTA DESCRIPCIÓN",IF($K91="","FALTA TIPO",IF(AND($K91&lt;&gt;"A",$J91=""),"FALTA TIEMPO",IF(AND($K91="T",OR($G91="",$H91="",$I91="")),"REVISAR TRANSPORTE",IF($U91="REVISAR","REVISAR PRECEDENCIA","OK"))))))))</x:f>
      </x:c>
    </x:row>
    <x:row r="92" ht="24" customHeight="1">
      <x:c r="A92" s="326" t="str">
        <x:f>IF($E92="","",COUNTA($E$19:E92))</x:f>
      </x:c>
      <x:c r="B92" s="327"/>
      <x:c r="C92" s="327"/>
      <x:c r="D92" s="327"/>
      <x:c r="E92" s="328"/>
      <x:c r="F92" s="328"/>
      <x:c r="G92" s="328"/>
      <x:c r="H92" s="328"/>
      <x:c r="I92" s="329"/>
      <x:c r="J92" s="329"/>
      <x:c r="K92" s="327"/>
      <x:c r="L92" s="330" t="str">
        <x:f>IF($K92="O", "●", "")</x:f>
      </x:c>
      <x:c r="M92" s="331" t="str">
        <x:f>IF($K92="T", "➜", "")</x:f>
      </x:c>
      <x:c r="N92" s="332" t="str">
        <x:f>IF($K92="I", "■", "")</x:f>
      </x:c>
      <x:c r="O92" s="333" t="str">
        <x:f>IF($K92="E", "D", "")</x:f>
      </x:c>
      <x:c r="P92" s="334" t="str">
        <x:f>IF($K92="A", "▼", "")</x:f>
      </x:c>
      <x:c r="Q92" s="335"/>
      <x:c r="R92" s="335"/>
      <x:c r="S92" s="335"/>
      <x:c r="T92" s="335"/>
      <x:c r="U92" s="336" t="str">
        <x:f>IF(OR($B92="",$E92="",$K92="",AND($K92&lt;&gt;"A",$J92="")),"",IF(OR(AND($Q92&lt;&gt;"",COUNTIF($B$19:$B91,$Q92)=0),AND($R92&lt;&gt;"",COUNTIF($B$19:$B91,$R92)=0),AND($S92&lt;&gt;"",COUNTIF($B$19:$B91,$S92)=0),AND($T92&lt;&gt;"",COUNTIF($B$19:$B91,$T92)=0)),"REVISAR",MAX(IFERROR(INDEX($V$19:$V91,MATCH($Q92,$B$19:$B91,0)),0),IFERROR(INDEX($V$19:$V91,MATCH($R92,$B$19:$B91,0)),0),IFERROR(INDEX($V$19:$V91,MATCH($S92,$B$19:$B91,0)),0),IFERROR(INDEX($V$19:$V91,MATCH($T92,$B$19:$B91,0)),0))))</x:f>
      </x:c>
      <x:c r="V92" s="336" t="str">
        <x:f>IF(ISNUMBER($U92),$U92+IF($J92="",0,$J92),"")</x:f>
      </x:c>
      <x:c r="W92" s="337"/>
      <x:c r="X92" s="338" t="str">
        <x:f>IF(COUNTA($B92:$K92)+COUNTA($Q92:$T92)+COUNTA($W92)=0,"",IF($B92="","FALTA ID",IF(COUNTIF($B$19:$B$118,$B92)&gt;1,"ID REPETIDO",IF($E92="","FALTA DESCRIPCIÓN",IF($K92="","FALTA TIPO",IF(AND($K92&lt;&gt;"A",$J92=""),"FALTA TIEMPO",IF(AND($K92="T",OR($G92="",$H92="",$I92="")),"REVISAR TRANSPORTE",IF($U92="REVISAR","REVISAR PRECEDENCIA","OK"))))))))</x:f>
      </x:c>
    </x:row>
    <x:row r="93" ht="24" customHeight="1">
      <x:c r="A93" s="326" t="str">
        <x:f>IF($E93="","",COUNTA($E$19:E93))</x:f>
      </x:c>
      <x:c r="B93" s="327"/>
      <x:c r="C93" s="327"/>
      <x:c r="D93" s="327"/>
      <x:c r="E93" s="328"/>
      <x:c r="F93" s="328"/>
      <x:c r="G93" s="328"/>
      <x:c r="H93" s="328"/>
      <x:c r="I93" s="329"/>
      <x:c r="J93" s="329"/>
      <x:c r="K93" s="327"/>
      <x:c r="L93" s="330" t="str">
        <x:f>IF($K93="O", "●", "")</x:f>
      </x:c>
      <x:c r="M93" s="331" t="str">
        <x:f>IF($K93="T", "➜", "")</x:f>
      </x:c>
      <x:c r="N93" s="332" t="str">
        <x:f>IF($K93="I", "■", "")</x:f>
      </x:c>
      <x:c r="O93" s="333" t="str">
        <x:f>IF($K93="E", "D", "")</x:f>
      </x:c>
      <x:c r="P93" s="334" t="str">
        <x:f>IF($K93="A", "▼", "")</x:f>
      </x:c>
      <x:c r="Q93" s="335"/>
      <x:c r="R93" s="335"/>
      <x:c r="S93" s="335"/>
      <x:c r="T93" s="335"/>
      <x:c r="U93" s="336" t="str">
        <x:f>IF(OR($B93="",$E93="",$K93="",AND($K93&lt;&gt;"A",$J93="")),"",IF(OR(AND($Q93&lt;&gt;"",COUNTIF($B$19:$B92,$Q93)=0),AND($R93&lt;&gt;"",COUNTIF($B$19:$B92,$R93)=0),AND($S93&lt;&gt;"",COUNTIF($B$19:$B92,$S93)=0),AND($T93&lt;&gt;"",COUNTIF($B$19:$B92,$T93)=0)),"REVISAR",MAX(IFERROR(INDEX($V$19:$V92,MATCH($Q93,$B$19:$B92,0)),0),IFERROR(INDEX($V$19:$V92,MATCH($R93,$B$19:$B92,0)),0),IFERROR(INDEX($V$19:$V92,MATCH($S93,$B$19:$B92,0)),0),IFERROR(INDEX($V$19:$V92,MATCH($T93,$B$19:$B92,0)),0))))</x:f>
      </x:c>
      <x:c r="V93" s="336" t="str">
        <x:f>IF(ISNUMBER($U93),$U93+IF($J93="",0,$J93),"")</x:f>
      </x:c>
      <x:c r="W93" s="337"/>
      <x:c r="X93" s="338" t="str">
        <x:f>IF(COUNTA($B93:$K93)+COUNTA($Q93:$T93)+COUNTA($W93)=0,"",IF($B93="","FALTA ID",IF(COUNTIF($B$19:$B$118,$B93)&gt;1,"ID REPETIDO",IF($E93="","FALTA DESCRIPCIÓN",IF($K93="","FALTA TIPO",IF(AND($K93&lt;&gt;"A",$J93=""),"FALTA TIEMPO",IF(AND($K93="T",OR($G93="",$H93="",$I93="")),"REVISAR TRANSPORTE",IF($U93="REVISAR","REVISAR PRECEDENCIA","OK"))))))))</x:f>
      </x:c>
    </x:row>
    <x:row r="94" ht="24" customHeight="1">
      <x:c r="A94" s="326" t="str">
        <x:f>IF($E94="","",COUNTA($E$19:E94))</x:f>
      </x:c>
      <x:c r="B94" s="327"/>
      <x:c r="C94" s="327"/>
      <x:c r="D94" s="327"/>
      <x:c r="E94" s="328"/>
      <x:c r="F94" s="328"/>
      <x:c r="G94" s="328"/>
      <x:c r="H94" s="328"/>
      <x:c r="I94" s="329"/>
      <x:c r="J94" s="329"/>
      <x:c r="K94" s="327"/>
      <x:c r="L94" s="330" t="str">
        <x:f>IF($K94="O", "●", "")</x:f>
      </x:c>
      <x:c r="M94" s="331" t="str">
        <x:f>IF($K94="T", "➜", "")</x:f>
      </x:c>
      <x:c r="N94" s="332" t="str">
        <x:f>IF($K94="I", "■", "")</x:f>
      </x:c>
      <x:c r="O94" s="333" t="str">
        <x:f>IF($K94="E", "D", "")</x:f>
      </x:c>
      <x:c r="P94" s="334" t="str">
        <x:f>IF($K94="A", "▼", "")</x:f>
      </x:c>
      <x:c r="Q94" s="335"/>
      <x:c r="R94" s="335"/>
      <x:c r="S94" s="335"/>
      <x:c r="T94" s="335"/>
      <x:c r="U94" s="336" t="str">
        <x:f>IF(OR($B94="",$E94="",$K94="",AND($K94&lt;&gt;"A",$J94="")),"",IF(OR(AND($Q94&lt;&gt;"",COUNTIF($B$19:$B93,$Q94)=0),AND($R94&lt;&gt;"",COUNTIF($B$19:$B93,$R94)=0),AND($S94&lt;&gt;"",COUNTIF($B$19:$B93,$S94)=0),AND($T94&lt;&gt;"",COUNTIF($B$19:$B93,$T94)=0)),"REVISAR",MAX(IFERROR(INDEX($V$19:$V93,MATCH($Q94,$B$19:$B93,0)),0),IFERROR(INDEX($V$19:$V93,MATCH($R94,$B$19:$B93,0)),0),IFERROR(INDEX($V$19:$V93,MATCH($S94,$B$19:$B93,0)),0),IFERROR(INDEX($V$19:$V93,MATCH($T94,$B$19:$B93,0)),0))))</x:f>
      </x:c>
      <x:c r="V94" s="336" t="str">
        <x:f>IF(ISNUMBER($U94),$U94+IF($J94="",0,$J94),"")</x:f>
      </x:c>
      <x:c r="W94" s="337"/>
      <x:c r="X94" s="338" t="str">
        <x:f>IF(COUNTA($B94:$K94)+COUNTA($Q94:$T94)+COUNTA($W94)=0,"",IF($B94="","FALTA ID",IF(COUNTIF($B$19:$B$118,$B94)&gt;1,"ID REPETIDO",IF($E94="","FALTA DESCRIPCIÓN",IF($K94="","FALTA TIPO",IF(AND($K94&lt;&gt;"A",$J94=""),"FALTA TIEMPO",IF(AND($K94="T",OR($G94="",$H94="",$I94="")),"REVISAR TRANSPORTE",IF($U94="REVISAR","REVISAR PRECEDENCIA","OK"))))))))</x:f>
      </x:c>
    </x:row>
    <x:row r="95" ht="24" customHeight="1">
      <x:c r="A95" s="326" t="str">
        <x:f>IF($E95="","",COUNTA($E$19:E95))</x:f>
      </x:c>
      <x:c r="B95" s="327"/>
      <x:c r="C95" s="327"/>
      <x:c r="D95" s="327"/>
      <x:c r="E95" s="328"/>
      <x:c r="F95" s="328"/>
      <x:c r="G95" s="328"/>
      <x:c r="H95" s="328"/>
      <x:c r="I95" s="329"/>
      <x:c r="J95" s="329"/>
      <x:c r="K95" s="327"/>
      <x:c r="L95" s="330" t="str">
        <x:f>IF($K95="O", "●", "")</x:f>
      </x:c>
      <x:c r="M95" s="331" t="str">
        <x:f>IF($K95="T", "➜", "")</x:f>
      </x:c>
      <x:c r="N95" s="332" t="str">
        <x:f>IF($K95="I", "■", "")</x:f>
      </x:c>
      <x:c r="O95" s="333" t="str">
        <x:f>IF($K95="E", "D", "")</x:f>
      </x:c>
      <x:c r="P95" s="334" t="str">
        <x:f>IF($K95="A", "▼", "")</x:f>
      </x:c>
      <x:c r="Q95" s="335"/>
      <x:c r="R95" s="335"/>
      <x:c r="S95" s="335"/>
      <x:c r="T95" s="335"/>
      <x:c r="U95" s="336" t="str">
        <x:f>IF(OR($B95="",$E95="",$K95="",AND($K95&lt;&gt;"A",$J95="")),"",IF(OR(AND($Q95&lt;&gt;"",COUNTIF($B$19:$B94,$Q95)=0),AND($R95&lt;&gt;"",COUNTIF($B$19:$B94,$R95)=0),AND($S95&lt;&gt;"",COUNTIF($B$19:$B94,$S95)=0),AND($T95&lt;&gt;"",COUNTIF($B$19:$B94,$T95)=0)),"REVISAR",MAX(IFERROR(INDEX($V$19:$V94,MATCH($Q95,$B$19:$B94,0)),0),IFERROR(INDEX($V$19:$V94,MATCH($R95,$B$19:$B94,0)),0),IFERROR(INDEX($V$19:$V94,MATCH($S95,$B$19:$B94,0)),0),IFERROR(INDEX($V$19:$V94,MATCH($T95,$B$19:$B94,0)),0))))</x:f>
      </x:c>
      <x:c r="V95" s="336" t="str">
        <x:f>IF(ISNUMBER($U95),$U95+IF($J95="",0,$J95),"")</x:f>
      </x:c>
      <x:c r="W95" s="337"/>
      <x:c r="X95" s="338" t="str">
        <x:f>IF(COUNTA($B95:$K95)+COUNTA($Q95:$T95)+COUNTA($W95)=0,"",IF($B95="","FALTA ID",IF(COUNTIF($B$19:$B$118,$B95)&gt;1,"ID REPETIDO",IF($E95="","FALTA DESCRIPCIÓN",IF($K95="","FALTA TIPO",IF(AND($K95&lt;&gt;"A",$J95=""),"FALTA TIEMPO",IF(AND($K95="T",OR($G95="",$H95="",$I95="")),"REVISAR TRANSPORTE",IF($U95="REVISAR","REVISAR PRECEDENCIA","OK"))))))))</x:f>
      </x:c>
    </x:row>
    <x:row r="96" ht="24" customHeight="1">
      <x:c r="A96" s="326" t="str">
        <x:f>IF($E96="","",COUNTA($E$19:E96))</x:f>
      </x:c>
      <x:c r="B96" s="327"/>
      <x:c r="C96" s="327"/>
      <x:c r="D96" s="327"/>
      <x:c r="E96" s="328"/>
      <x:c r="F96" s="328"/>
      <x:c r="G96" s="328"/>
      <x:c r="H96" s="328"/>
      <x:c r="I96" s="329"/>
      <x:c r="J96" s="329"/>
      <x:c r="K96" s="327"/>
      <x:c r="L96" s="330" t="str">
        <x:f>IF($K96="O", "●", "")</x:f>
      </x:c>
      <x:c r="M96" s="331" t="str">
        <x:f>IF($K96="T", "➜", "")</x:f>
      </x:c>
      <x:c r="N96" s="332" t="str">
        <x:f>IF($K96="I", "■", "")</x:f>
      </x:c>
      <x:c r="O96" s="333" t="str">
        <x:f>IF($K96="E", "D", "")</x:f>
      </x:c>
      <x:c r="P96" s="334" t="str">
        <x:f>IF($K96="A", "▼", "")</x:f>
      </x:c>
      <x:c r="Q96" s="335"/>
      <x:c r="R96" s="335"/>
      <x:c r="S96" s="335"/>
      <x:c r="T96" s="335"/>
      <x:c r="U96" s="336" t="str">
        <x:f>IF(OR($B96="",$E96="",$K96="",AND($K96&lt;&gt;"A",$J96="")),"",IF(OR(AND($Q96&lt;&gt;"",COUNTIF($B$19:$B95,$Q96)=0),AND($R96&lt;&gt;"",COUNTIF($B$19:$B95,$R96)=0),AND($S96&lt;&gt;"",COUNTIF($B$19:$B95,$S96)=0),AND($T96&lt;&gt;"",COUNTIF($B$19:$B95,$T96)=0)),"REVISAR",MAX(IFERROR(INDEX($V$19:$V95,MATCH($Q96,$B$19:$B95,0)),0),IFERROR(INDEX($V$19:$V95,MATCH($R96,$B$19:$B95,0)),0),IFERROR(INDEX($V$19:$V95,MATCH($S96,$B$19:$B95,0)),0),IFERROR(INDEX($V$19:$V95,MATCH($T96,$B$19:$B95,0)),0))))</x:f>
      </x:c>
      <x:c r="V96" s="336" t="str">
        <x:f>IF(ISNUMBER($U96),$U96+IF($J96="",0,$J96),"")</x:f>
      </x:c>
      <x:c r="W96" s="337"/>
      <x:c r="X96" s="338" t="str">
        <x:f>IF(COUNTA($B96:$K96)+COUNTA($Q96:$T96)+COUNTA($W96)=0,"",IF($B96="","FALTA ID",IF(COUNTIF($B$19:$B$118,$B96)&gt;1,"ID REPETIDO",IF($E96="","FALTA DESCRIPCIÓN",IF($K96="","FALTA TIPO",IF(AND($K96&lt;&gt;"A",$J96=""),"FALTA TIEMPO",IF(AND($K96="T",OR($G96="",$H96="",$I96="")),"REVISAR TRANSPORTE",IF($U96="REVISAR","REVISAR PRECEDENCIA","OK"))))))))</x:f>
      </x:c>
    </x:row>
    <x:row r="97" ht="24" customHeight="1">
      <x:c r="A97" s="326" t="str">
        <x:f>IF($E97="","",COUNTA($E$19:E97))</x:f>
      </x:c>
      <x:c r="B97" s="327"/>
      <x:c r="C97" s="327"/>
      <x:c r="D97" s="327"/>
      <x:c r="E97" s="328"/>
      <x:c r="F97" s="328"/>
      <x:c r="G97" s="328"/>
      <x:c r="H97" s="328"/>
      <x:c r="I97" s="329"/>
      <x:c r="J97" s="329"/>
      <x:c r="K97" s="327"/>
      <x:c r="L97" s="330" t="str">
        <x:f>IF($K97="O", "●", "")</x:f>
      </x:c>
      <x:c r="M97" s="331" t="str">
        <x:f>IF($K97="T", "➜", "")</x:f>
      </x:c>
      <x:c r="N97" s="332" t="str">
        <x:f>IF($K97="I", "■", "")</x:f>
      </x:c>
      <x:c r="O97" s="333" t="str">
        <x:f>IF($K97="E", "D", "")</x:f>
      </x:c>
      <x:c r="P97" s="334" t="str">
        <x:f>IF($K97="A", "▼", "")</x:f>
      </x:c>
      <x:c r="Q97" s="335"/>
      <x:c r="R97" s="335"/>
      <x:c r="S97" s="335"/>
      <x:c r="T97" s="335"/>
      <x:c r="U97" s="336" t="str">
        <x:f>IF(OR($B97="",$E97="",$K97="",AND($K97&lt;&gt;"A",$J97="")),"",IF(OR(AND($Q97&lt;&gt;"",COUNTIF($B$19:$B96,$Q97)=0),AND($R97&lt;&gt;"",COUNTIF($B$19:$B96,$R97)=0),AND($S97&lt;&gt;"",COUNTIF($B$19:$B96,$S97)=0),AND($T97&lt;&gt;"",COUNTIF($B$19:$B96,$T97)=0)),"REVISAR",MAX(IFERROR(INDEX($V$19:$V96,MATCH($Q97,$B$19:$B96,0)),0),IFERROR(INDEX($V$19:$V96,MATCH($R97,$B$19:$B96,0)),0),IFERROR(INDEX($V$19:$V96,MATCH($S97,$B$19:$B96,0)),0),IFERROR(INDEX($V$19:$V96,MATCH($T97,$B$19:$B96,0)),0))))</x:f>
      </x:c>
      <x:c r="V97" s="336" t="str">
        <x:f>IF(ISNUMBER($U97),$U97+IF($J97="",0,$J97),"")</x:f>
      </x:c>
      <x:c r="W97" s="337"/>
      <x:c r="X97" s="338" t="str">
        <x:f>IF(COUNTA($B97:$K97)+COUNTA($Q97:$T97)+COUNTA($W97)=0,"",IF($B97="","FALTA ID",IF(COUNTIF($B$19:$B$118,$B97)&gt;1,"ID REPETIDO",IF($E97="","FALTA DESCRIPCIÓN",IF($K97="","FALTA TIPO",IF(AND($K97&lt;&gt;"A",$J97=""),"FALTA TIEMPO",IF(AND($K97="T",OR($G97="",$H97="",$I97="")),"REVISAR TRANSPORTE",IF($U97="REVISAR","REVISAR PRECEDENCIA","OK"))))))))</x:f>
      </x:c>
    </x:row>
    <x:row r="98" ht="24" customHeight="1">
      <x:c r="A98" s="326" t="str">
        <x:f>IF($E98="","",COUNTA($E$19:E98))</x:f>
      </x:c>
      <x:c r="B98" s="327"/>
      <x:c r="C98" s="327"/>
      <x:c r="D98" s="327"/>
      <x:c r="E98" s="328"/>
      <x:c r="F98" s="328"/>
      <x:c r="G98" s="328"/>
      <x:c r="H98" s="328"/>
      <x:c r="I98" s="329"/>
      <x:c r="J98" s="329"/>
      <x:c r="K98" s="327"/>
      <x:c r="L98" s="330" t="str">
        <x:f>IF($K98="O", "●", "")</x:f>
      </x:c>
      <x:c r="M98" s="331" t="str">
        <x:f>IF($K98="T", "➜", "")</x:f>
      </x:c>
      <x:c r="N98" s="332" t="str">
        <x:f>IF($K98="I", "■", "")</x:f>
      </x:c>
      <x:c r="O98" s="333" t="str">
        <x:f>IF($K98="E", "D", "")</x:f>
      </x:c>
      <x:c r="P98" s="334" t="str">
        <x:f>IF($K98="A", "▼", "")</x:f>
      </x:c>
      <x:c r="Q98" s="335"/>
      <x:c r="R98" s="335"/>
      <x:c r="S98" s="335"/>
      <x:c r="T98" s="335"/>
      <x:c r="U98" s="336" t="str">
        <x:f>IF(OR($B98="",$E98="",$K98="",AND($K98&lt;&gt;"A",$J98="")),"",IF(OR(AND($Q98&lt;&gt;"",COUNTIF($B$19:$B97,$Q98)=0),AND($R98&lt;&gt;"",COUNTIF($B$19:$B97,$R98)=0),AND($S98&lt;&gt;"",COUNTIF($B$19:$B97,$S98)=0),AND($T98&lt;&gt;"",COUNTIF($B$19:$B97,$T98)=0)),"REVISAR",MAX(IFERROR(INDEX($V$19:$V97,MATCH($Q98,$B$19:$B97,0)),0),IFERROR(INDEX($V$19:$V97,MATCH($R98,$B$19:$B97,0)),0),IFERROR(INDEX($V$19:$V97,MATCH($S98,$B$19:$B97,0)),0),IFERROR(INDEX($V$19:$V97,MATCH($T98,$B$19:$B97,0)),0))))</x:f>
      </x:c>
      <x:c r="V98" s="336" t="str">
        <x:f>IF(ISNUMBER($U98),$U98+IF($J98="",0,$J98),"")</x:f>
      </x:c>
      <x:c r="W98" s="337"/>
      <x:c r="X98" s="338" t="str">
        <x:f>IF(COUNTA($B98:$K98)+COUNTA($Q98:$T98)+COUNTA($W98)=0,"",IF($B98="","FALTA ID",IF(COUNTIF($B$19:$B$118,$B98)&gt;1,"ID REPETIDO",IF($E98="","FALTA DESCRIPCIÓN",IF($K98="","FALTA TIPO",IF(AND($K98&lt;&gt;"A",$J98=""),"FALTA TIEMPO",IF(AND($K98="T",OR($G98="",$H98="",$I98="")),"REVISAR TRANSPORTE",IF($U98="REVISAR","REVISAR PRECEDENCIA","OK"))))))))</x:f>
      </x:c>
    </x:row>
    <x:row r="99" ht="24" customHeight="1">
      <x:c r="A99" s="326" t="str">
        <x:f>IF($E99="","",COUNTA($E$19:E99))</x:f>
      </x:c>
      <x:c r="B99" s="327"/>
      <x:c r="C99" s="327"/>
      <x:c r="D99" s="327"/>
      <x:c r="E99" s="328"/>
      <x:c r="F99" s="328"/>
      <x:c r="G99" s="328"/>
      <x:c r="H99" s="328"/>
      <x:c r="I99" s="329"/>
      <x:c r="J99" s="329"/>
      <x:c r="K99" s="327"/>
      <x:c r="L99" s="330" t="str">
        <x:f>IF($K99="O", "●", "")</x:f>
      </x:c>
      <x:c r="M99" s="331" t="str">
        <x:f>IF($K99="T", "➜", "")</x:f>
      </x:c>
      <x:c r="N99" s="332" t="str">
        <x:f>IF($K99="I", "■", "")</x:f>
      </x:c>
      <x:c r="O99" s="333" t="str">
        <x:f>IF($K99="E", "D", "")</x:f>
      </x:c>
      <x:c r="P99" s="334" t="str">
        <x:f>IF($K99="A", "▼", "")</x:f>
      </x:c>
      <x:c r="Q99" s="335"/>
      <x:c r="R99" s="335"/>
      <x:c r="S99" s="335"/>
      <x:c r="T99" s="335"/>
      <x:c r="U99" s="336" t="str">
        <x:f>IF(OR($B99="",$E99="",$K99="",AND($K99&lt;&gt;"A",$J99="")),"",IF(OR(AND($Q99&lt;&gt;"",COUNTIF($B$19:$B98,$Q99)=0),AND($R99&lt;&gt;"",COUNTIF($B$19:$B98,$R99)=0),AND($S99&lt;&gt;"",COUNTIF($B$19:$B98,$S99)=0),AND($T99&lt;&gt;"",COUNTIF($B$19:$B98,$T99)=0)),"REVISAR",MAX(IFERROR(INDEX($V$19:$V98,MATCH($Q99,$B$19:$B98,0)),0),IFERROR(INDEX($V$19:$V98,MATCH($R99,$B$19:$B98,0)),0),IFERROR(INDEX($V$19:$V98,MATCH($S99,$B$19:$B98,0)),0),IFERROR(INDEX($V$19:$V98,MATCH($T99,$B$19:$B98,0)),0))))</x:f>
      </x:c>
      <x:c r="V99" s="336" t="str">
        <x:f>IF(ISNUMBER($U99),$U99+IF($J99="",0,$J99),"")</x:f>
      </x:c>
      <x:c r="W99" s="337"/>
      <x:c r="X99" s="338" t="str">
        <x:f>IF(COUNTA($B99:$K99)+COUNTA($Q99:$T99)+COUNTA($W99)=0,"",IF($B99="","FALTA ID",IF(COUNTIF($B$19:$B$118,$B99)&gt;1,"ID REPETIDO",IF($E99="","FALTA DESCRIPCIÓN",IF($K99="","FALTA TIPO",IF(AND($K99&lt;&gt;"A",$J99=""),"FALTA TIEMPO",IF(AND($K99="T",OR($G99="",$H99="",$I99="")),"REVISAR TRANSPORTE",IF($U99="REVISAR","REVISAR PRECEDENCIA","OK"))))))))</x:f>
      </x:c>
    </x:row>
    <x:row r="100" ht="24" customHeight="1">
      <x:c r="A100" s="326" t="str">
        <x:f>IF($E100="","",COUNTA($E$19:E100))</x:f>
      </x:c>
      <x:c r="B100" s="327"/>
      <x:c r="C100" s="327"/>
      <x:c r="D100" s="327"/>
      <x:c r="E100" s="328"/>
      <x:c r="F100" s="328"/>
      <x:c r="G100" s="328"/>
      <x:c r="H100" s="328"/>
      <x:c r="I100" s="329"/>
      <x:c r="J100" s="329"/>
      <x:c r="K100" s="327"/>
      <x:c r="L100" s="330" t="str">
        <x:f>IF($K100="O", "●", "")</x:f>
      </x:c>
      <x:c r="M100" s="331" t="str">
        <x:f>IF($K100="T", "➜", "")</x:f>
      </x:c>
      <x:c r="N100" s="332" t="str">
        <x:f>IF($K100="I", "■", "")</x:f>
      </x:c>
      <x:c r="O100" s="333" t="str">
        <x:f>IF($K100="E", "D", "")</x:f>
      </x:c>
      <x:c r="P100" s="334" t="str">
        <x:f>IF($K100="A", "▼", "")</x:f>
      </x:c>
      <x:c r="Q100" s="335"/>
      <x:c r="R100" s="335"/>
      <x:c r="S100" s="335"/>
      <x:c r="T100" s="335"/>
      <x:c r="U100" s="336" t="str">
        <x:f>IF(OR($B100="",$E100="",$K100="",AND($K100&lt;&gt;"A",$J100="")),"",IF(OR(AND($Q100&lt;&gt;"",COUNTIF($B$19:$B99,$Q100)=0),AND($R100&lt;&gt;"",COUNTIF($B$19:$B99,$R100)=0),AND($S100&lt;&gt;"",COUNTIF($B$19:$B99,$S100)=0),AND($T100&lt;&gt;"",COUNTIF($B$19:$B99,$T100)=0)),"REVISAR",MAX(IFERROR(INDEX($V$19:$V99,MATCH($Q100,$B$19:$B99,0)),0),IFERROR(INDEX($V$19:$V99,MATCH($R100,$B$19:$B99,0)),0),IFERROR(INDEX($V$19:$V99,MATCH($S100,$B$19:$B99,0)),0),IFERROR(INDEX($V$19:$V99,MATCH($T100,$B$19:$B99,0)),0))))</x:f>
      </x:c>
      <x:c r="V100" s="336" t="str">
        <x:f>IF(ISNUMBER($U100),$U100+IF($J100="",0,$J100),"")</x:f>
      </x:c>
      <x:c r="W100" s="337"/>
      <x:c r="X100" s="338" t="str">
        <x:f>IF(COUNTA($B100:$K100)+COUNTA($Q100:$T100)+COUNTA($W100)=0,"",IF($B100="","FALTA ID",IF(COUNTIF($B$19:$B$118,$B100)&gt;1,"ID REPETIDO",IF($E100="","FALTA DESCRIPCIÓN",IF($K100="","FALTA TIPO",IF(AND($K100&lt;&gt;"A",$J100=""),"FALTA TIEMPO",IF(AND($K100="T",OR($G100="",$H100="",$I100="")),"REVISAR TRANSPORTE",IF($U100="REVISAR","REVISAR PRECEDENCIA","OK"))))))))</x:f>
      </x:c>
    </x:row>
    <x:row r="101" ht="24" customHeight="1">
      <x:c r="A101" s="326" t="str">
        <x:f>IF($E101="","",COUNTA($E$19:E101))</x:f>
      </x:c>
      <x:c r="B101" s="327"/>
      <x:c r="C101" s="327"/>
      <x:c r="D101" s="327"/>
      <x:c r="E101" s="328"/>
      <x:c r="F101" s="328"/>
      <x:c r="G101" s="328"/>
      <x:c r="H101" s="328"/>
      <x:c r="I101" s="329"/>
      <x:c r="J101" s="329"/>
      <x:c r="K101" s="327"/>
      <x:c r="L101" s="330" t="str">
        <x:f>IF($K101="O", "●", "")</x:f>
      </x:c>
      <x:c r="M101" s="331" t="str">
        <x:f>IF($K101="T", "➜", "")</x:f>
      </x:c>
      <x:c r="N101" s="332" t="str">
        <x:f>IF($K101="I", "■", "")</x:f>
      </x:c>
      <x:c r="O101" s="333" t="str">
        <x:f>IF($K101="E", "D", "")</x:f>
      </x:c>
      <x:c r="P101" s="334" t="str">
        <x:f>IF($K101="A", "▼", "")</x:f>
      </x:c>
      <x:c r="Q101" s="335"/>
      <x:c r="R101" s="335"/>
      <x:c r="S101" s="335"/>
      <x:c r="T101" s="335"/>
      <x:c r="U101" s="336" t="str">
        <x:f>IF(OR($B101="",$E101="",$K101="",AND($K101&lt;&gt;"A",$J101="")),"",IF(OR(AND($Q101&lt;&gt;"",COUNTIF($B$19:$B100,$Q101)=0),AND($R101&lt;&gt;"",COUNTIF($B$19:$B100,$R101)=0),AND($S101&lt;&gt;"",COUNTIF($B$19:$B100,$S101)=0),AND($T101&lt;&gt;"",COUNTIF($B$19:$B100,$T101)=0)),"REVISAR",MAX(IFERROR(INDEX($V$19:$V100,MATCH($Q101,$B$19:$B100,0)),0),IFERROR(INDEX($V$19:$V100,MATCH($R101,$B$19:$B100,0)),0),IFERROR(INDEX($V$19:$V100,MATCH($S101,$B$19:$B100,0)),0),IFERROR(INDEX($V$19:$V100,MATCH($T101,$B$19:$B100,0)),0))))</x:f>
      </x:c>
      <x:c r="V101" s="336" t="str">
        <x:f>IF(ISNUMBER($U101),$U101+IF($J101="",0,$J101),"")</x:f>
      </x:c>
      <x:c r="W101" s="337"/>
      <x:c r="X101" s="338" t="str">
        <x:f>IF(COUNTA($B101:$K101)+COUNTA($Q101:$T101)+COUNTA($W101)=0,"",IF($B101="","FALTA ID",IF(COUNTIF($B$19:$B$118,$B101)&gt;1,"ID REPETIDO",IF($E101="","FALTA DESCRIPCIÓN",IF($K101="","FALTA TIPO",IF(AND($K101&lt;&gt;"A",$J101=""),"FALTA TIEMPO",IF(AND($K101="T",OR($G101="",$H101="",$I101="")),"REVISAR TRANSPORTE",IF($U101="REVISAR","REVISAR PRECEDENCIA","OK"))))))))</x:f>
      </x:c>
    </x:row>
    <x:row r="102" ht="24" customHeight="1">
      <x:c r="A102" s="326" t="str">
        <x:f>IF($E102="","",COUNTA($E$19:E102))</x:f>
      </x:c>
      <x:c r="B102" s="327"/>
      <x:c r="C102" s="327"/>
      <x:c r="D102" s="327"/>
      <x:c r="E102" s="328"/>
      <x:c r="F102" s="328"/>
      <x:c r="G102" s="328"/>
      <x:c r="H102" s="328"/>
      <x:c r="I102" s="329"/>
      <x:c r="J102" s="329"/>
      <x:c r="K102" s="327"/>
      <x:c r="L102" s="330" t="str">
        <x:f>IF($K102="O", "●", "")</x:f>
      </x:c>
      <x:c r="M102" s="331" t="str">
        <x:f>IF($K102="T", "➜", "")</x:f>
      </x:c>
      <x:c r="N102" s="332" t="str">
        <x:f>IF($K102="I", "■", "")</x:f>
      </x:c>
      <x:c r="O102" s="333" t="str">
        <x:f>IF($K102="E", "D", "")</x:f>
      </x:c>
      <x:c r="P102" s="334" t="str">
        <x:f>IF($K102="A", "▼", "")</x:f>
      </x:c>
      <x:c r="Q102" s="335"/>
      <x:c r="R102" s="335"/>
      <x:c r="S102" s="335"/>
      <x:c r="T102" s="335"/>
      <x:c r="U102" s="336" t="str">
        <x:f>IF(OR($B102="",$E102="",$K102="",AND($K102&lt;&gt;"A",$J102="")),"",IF(OR(AND($Q102&lt;&gt;"",COUNTIF($B$19:$B101,$Q102)=0),AND($R102&lt;&gt;"",COUNTIF($B$19:$B101,$R102)=0),AND($S102&lt;&gt;"",COUNTIF($B$19:$B101,$S102)=0),AND($T102&lt;&gt;"",COUNTIF($B$19:$B101,$T102)=0)),"REVISAR",MAX(IFERROR(INDEX($V$19:$V101,MATCH($Q102,$B$19:$B101,0)),0),IFERROR(INDEX($V$19:$V101,MATCH($R102,$B$19:$B101,0)),0),IFERROR(INDEX($V$19:$V101,MATCH($S102,$B$19:$B101,0)),0),IFERROR(INDEX($V$19:$V101,MATCH($T102,$B$19:$B101,0)),0))))</x:f>
      </x:c>
      <x:c r="V102" s="336" t="str">
        <x:f>IF(ISNUMBER($U102),$U102+IF($J102="",0,$J102),"")</x:f>
      </x:c>
      <x:c r="W102" s="337"/>
      <x:c r="X102" s="338" t="str">
        <x:f>IF(COUNTA($B102:$K102)+COUNTA($Q102:$T102)+COUNTA($W102)=0,"",IF($B102="","FALTA ID",IF(COUNTIF($B$19:$B$118,$B102)&gt;1,"ID REPETIDO",IF($E102="","FALTA DESCRIPCIÓN",IF($K102="","FALTA TIPO",IF(AND($K102&lt;&gt;"A",$J102=""),"FALTA TIEMPO",IF(AND($K102="T",OR($G102="",$H102="",$I102="")),"REVISAR TRANSPORTE",IF($U102="REVISAR","REVISAR PRECEDENCIA","OK"))))))))</x:f>
      </x:c>
    </x:row>
    <x:row r="103" ht="24" customHeight="1">
      <x:c r="A103" s="326" t="str">
        <x:f>IF($E103="","",COUNTA($E$19:E103))</x:f>
      </x:c>
      <x:c r="B103" s="327"/>
      <x:c r="C103" s="327"/>
      <x:c r="D103" s="327"/>
      <x:c r="E103" s="328"/>
      <x:c r="F103" s="328"/>
      <x:c r="G103" s="328"/>
      <x:c r="H103" s="328"/>
      <x:c r="I103" s="329"/>
      <x:c r="J103" s="329"/>
      <x:c r="K103" s="327"/>
      <x:c r="L103" s="330" t="str">
        <x:f>IF($K103="O", "●", "")</x:f>
      </x:c>
      <x:c r="M103" s="331" t="str">
        <x:f>IF($K103="T", "➜", "")</x:f>
      </x:c>
      <x:c r="N103" s="332" t="str">
        <x:f>IF($K103="I", "■", "")</x:f>
      </x:c>
      <x:c r="O103" s="333" t="str">
        <x:f>IF($K103="E", "D", "")</x:f>
      </x:c>
      <x:c r="P103" s="334" t="str">
        <x:f>IF($K103="A", "▼", "")</x:f>
      </x:c>
      <x:c r="Q103" s="335"/>
      <x:c r="R103" s="335"/>
      <x:c r="S103" s="335"/>
      <x:c r="T103" s="335"/>
      <x:c r="U103" s="336" t="str">
        <x:f>IF(OR($B103="",$E103="",$K103="",AND($K103&lt;&gt;"A",$J103="")),"",IF(OR(AND($Q103&lt;&gt;"",COUNTIF($B$19:$B102,$Q103)=0),AND($R103&lt;&gt;"",COUNTIF($B$19:$B102,$R103)=0),AND($S103&lt;&gt;"",COUNTIF($B$19:$B102,$S103)=0),AND($T103&lt;&gt;"",COUNTIF($B$19:$B102,$T103)=0)),"REVISAR",MAX(IFERROR(INDEX($V$19:$V102,MATCH($Q103,$B$19:$B102,0)),0),IFERROR(INDEX($V$19:$V102,MATCH($R103,$B$19:$B102,0)),0),IFERROR(INDEX($V$19:$V102,MATCH($S103,$B$19:$B102,0)),0),IFERROR(INDEX($V$19:$V102,MATCH($T103,$B$19:$B102,0)),0))))</x:f>
      </x:c>
      <x:c r="V103" s="336" t="str">
        <x:f>IF(ISNUMBER($U103),$U103+IF($J103="",0,$J103),"")</x:f>
      </x:c>
      <x:c r="W103" s="337"/>
      <x:c r="X103" s="338" t="str">
        <x:f>IF(COUNTA($B103:$K103)+COUNTA($Q103:$T103)+COUNTA($W103)=0,"",IF($B103="","FALTA ID",IF(COUNTIF($B$19:$B$118,$B103)&gt;1,"ID REPETIDO",IF($E103="","FALTA DESCRIPCIÓN",IF($K103="","FALTA TIPO",IF(AND($K103&lt;&gt;"A",$J103=""),"FALTA TIEMPO",IF(AND($K103="T",OR($G103="",$H103="",$I103="")),"REVISAR TRANSPORTE",IF($U103="REVISAR","REVISAR PRECEDENCIA","OK"))))))))</x:f>
      </x:c>
    </x:row>
    <x:row r="104" ht="24" customHeight="1">
      <x:c r="A104" s="326" t="str">
        <x:f>IF($E104="","",COUNTA($E$19:E104))</x:f>
      </x:c>
      <x:c r="B104" s="327"/>
      <x:c r="C104" s="327"/>
      <x:c r="D104" s="327"/>
      <x:c r="E104" s="328"/>
      <x:c r="F104" s="328"/>
      <x:c r="G104" s="328"/>
      <x:c r="H104" s="328"/>
      <x:c r="I104" s="329"/>
      <x:c r="J104" s="329"/>
      <x:c r="K104" s="327"/>
      <x:c r="L104" s="330" t="str">
        <x:f>IF($K104="O", "●", "")</x:f>
      </x:c>
      <x:c r="M104" s="331" t="str">
        <x:f>IF($K104="T", "➜", "")</x:f>
      </x:c>
      <x:c r="N104" s="332" t="str">
        <x:f>IF($K104="I", "■", "")</x:f>
      </x:c>
      <x:c r="O104" s="333" t="str">
        <x:f>IF($K104="E", "D", "")</x:f>
      </x:c>
      <x:c r="P104" s="334" t="str">
        <x:f>IF($K104="A", "▼", "")</x:f>
      </x:c>
      <x:c r="Q104" s="335"/>
      <x:c r="R104" s="335"/>
      <x:c r="S104" s="335"/>
      <x:c r="T104" s="335"/>
      <x:c r="U104" s="336" t="str">
        <x:f>IF(OR($B104="",$E104="",$K104="",AND($K104&lt;&gt;"A",$J104="")),"",IF(OR(AND($Q104&lt;&gt;"",COUNTIF($B$19:$B103,$Q104)=0),AND($R104&lt;&gt;"",COUNTIF($B$19:$B103,$R104)=0),AND($S104&lt;&gt;"",COUNTIF($B$19:$B103,$S104)=0),AND($T104&lt;&gt;"",COUNTIF($B$19:$B103,$T104)=0)),"REVISAR",MAX(IFERROR(INDEX($V$19:$V103,MATCH($Q104,$B$19:$B103,0)),0),IFERROR(INDEX($V$19:$V103,MATCH($R104,$B$19:$B103,0)),0),IFERROR(INDEX($V$19:$V103,MATCH($S104,$B$19:$B103,0)),0),IFERROR(INDEX($V$19:$V103,MATCH($T104,$B$19:$B103,0)),0))))</x:f>
      </x:c>
      <x:c r="V104" s="336" t="str">
        <x:f>IF(ISNUMBER($U104),$U104+IF($J104="",0,$J104),"")</x:f>
      </x:c>
      <x:c r="W104" s="337"/>
      <x:c r="X104" s="338" t="str">
        <x:f>IF(COUNTA($B104:$K104)+COUNTA($Q104:$T104)+COUNTA($W104)=0,"",IF($B104="","FALTA ID",IF(COUNTIF($B$19:$B$118,$B104)&gt;1,"ID REPETIDO",IF($E104="","FALTA DESCRIPCIÓN",IF($K104="","FALTA TIPO",IF(AND($K104&lt;&gt;"A",$J104=""),"FALTA TIEMPO",IF(AND($K104="T",OR($G104="",$H104="",$I104="")),"REVISAR TRANSPORTE",IF($U104="REVISAR","REVISAR PRECEDENCIA","OK"))))))))</x:f>
      </x:c>
    </x:row>
    <x:row r="105" ht="24" customHeight="1">
      <x:c r="A105" s="326" t="str">
        <x:f>IF($E105="","",COUNTA($E$19:E105))</x:f>
      </x:c>
      <x:c r="B105" s="327"/>
      <x:c r="C105" s="327"/>
      <x:c r="D105" s="327"/>
      <x:c r="E105" s="328"/>
      <x:c r="F105" s="328"/>
      <x:c r="G105" s="328"/>
      <x:c r="H105" s="328"/>
      <x:c r="I105" s="329"/>
      <x:c r="J105" s="329"/>
      <x:c r="K105" s="327"/>
      <x:c r="L105" s="330" t="str">
        <x:f>IF($K105="O", "●", "")</x:f>
      </x:c>
      <x:c r="M105" s="331" t="str">
        <x:f>IF($K105="T", "➜", "")</x:f>
      </x:c>
      <x:c r="N105" s="332" t="str">
        <x:f>IF($K105="I", "■", "")</x:f>
      </x:c>
      <x:c r="O105" s="333" t="str">
        <x:f>IF($K105="E", "D", "")</x:f>
      </x:c>
      <x:c r="P105" s="334" t="str">
        <x:f>IF($K105="A", "▼", "")</x:f>
      </x:c>
      <x:c r="Q105" s="335"/>
      <x:c r="R105" s="335"/>
      <x:c r="S105" s="335"/>
      <x:c r="T105" s="335"/>
      <x:c r="U105" s="336" t="str">
        <x:f>IF(OR($B105="",$E105="",$K105="",AND($K105&lt;&gt;"A",$J105="")),"",IF(OR(AND($Q105&lt;&gt;"",COUNTIF($B$19:$B104,$Q105)=0),AND($R105&lt;&gt;"",COUNTIF($B$19:$B104,$R105)=0),AND($S105&lt;&gt;"",COUNTIF($B$19:$B104,$S105)=0),AND($T105&lt;&gt;"",COUNTIF($B$19:$B104,$T105)=0)),"REVISAR",MAX(IFERROR(INDEX($V$19:$V104,MATCH($Q105,$B$19:$B104,0)),0),IFERROR(INDEX($V$19:$V104,MATCH($R105,$B$19:$B104,0)),0),IFERROR(INDEX($V$19:$V104,MATCH($S105,$B$19:$B104,0)),0),IFERROR(INDEX($V$19:$V104,MATCH($T105,$B$19:$B104,0)),0))))</x:f>
      </x:c>
      <x:c r="V105" s="336" t="str">
        <x:f>IF(ISNUMBER($U105),$U105+IF($J105="",0,$J105),"")</x:f>
      </x:c>
      <x:c r="W105" s="337"/>
      <x:c r="X105" s="338" t="str">
        <x:f>IF(COUNTA($B105:$K105)+COUNTA($Q105:$T105)+COUNTA($W105)=0,"",IF($B105="","FALTA ID",IF(COUNTIF($B$19:$B$118,$B105)&gt;1,"ID REPETIDO",IF($E105="","FALTA DESCRIPCIÓN",IF($K105="","FALTA TIPO",IF(AND($K105&lt;&gt;"A",$J105=""),"FALTA TIEMPO",IF(AND($K105="T",OR($G105="",$H105="",$I105="")),"REVISAR TRANSPORTE",IF($U105="REVISAR","REVISAR PRECEDENCIA","OK"))))))))</x:f>
      </x:c>
    </x:row>
    <x:row r="106" ht="24" customHeight="1">
      <x:c r="A106" s="326" t="str">
        <x:f>IF($E106="","",COUNTA($E$19:E106))</x:f>
      </x:c>
      <x:c r="B106" s="327"/>
      <x:c r="C106" s="327"/>
      <x:c r="D106" s="327"/>
      <x:c r="E106" s="328"/>
      <x:c r="F106" s="328"/>
      <x:c r="G106" s="328"/>
      <x:c r="H106" s="328"/>
      <x:c r="I106" s="329"/>
      <x:c r="J106" s="329"/>
      <x:c r="K106" s="327"/>
      <x:c r="L106" s="330" t="str">
        <x:f>IF($K106="O", "●", "")</x:f>
      </x:c>
      <x:c r="M106" s="331" t="str">
        <x:f>IF($K106="T", "➜", "")</x:f>
      </x:c>
      <x:c r="N106" s="332" t="str">
        <x:f>IF($K106="I", "■", "")</x:f>
      </x:c>
      <x:c r="O106" s="333" t="str">
        <x:f>IF($K106="E", "D", "")</x:f>
      </x:c>
      <x:c r="P106" s="334" t="str">
        <x:f>IF($K106="A", "▼", "")</x:f>
      </x:c>
      <x:c r="Q106" s="335"/>
      <x:c r="R106" s="335"/>
      <x:c r="S106" s="335"/>
      <x:c r="T106" s="335"/>
      <x:c r="U106" s="336" t="str">
        <x:f>IF(OR($B106="",$E106="",$K106="",AND($K106&lt;&gt;"A",$J106="")),"",IF(OR(AND($Q106&lt;&gt;"",COUNTIF($B$19:$B105,$Q106)=0),AND($R106&lt;&gt;"",COUNTIF($B$19:$B105,$R106)=0),AND($S106&lt;&gt;"",COUNTIF($B$19:$B105,$S106)=0),AND($T106&lt;&gt;"",COUNTIF($B$19:$B105,$T106)=0)),"REVISAR",MAX(IFERROR(INDEX($V$19:$V105,MATCH($Q106,$B$19:$B105,0)),0),IFERROR(INDEX($V$19:$V105,MATCH($R106,$B$19:$B105,0)),0),IFERROR(INDEX($V$19:$V105,MATCH($S106,$B$19:$B105,0)),0),IFERROR(INDEX($V$19:$V105,MATCH($T106,$B$19:$B105,0)),0))))</x:f>
      </x:c>
      <x:c r="V106" s="336" t="str">
        <x:f>IF(ISNUMBER($U106),$U106+IF($J106="",0,$J106),"")</x:f>
      </x:c>
      <x:c r="W106" s="337"/>
      <x:c r="X106" s="338" t="str">
        <x:f>IF(COUNTA($B106:$K106)+COUNTA($Q106:$T106)+COUNTA($W106)=0,"",IF($B106="","FALTA ID",IF(COUNTIF($B$19:$B$118,$B106)&gt;1,"ID REPETIDO",IF($E106="","FALTA DESCRIPCIÓN",IF($K106="","FALTA TIPO",IF(AND($K106&lt;&gt;"A",$J106=""),"FALTA TIEMPO",IF(AND($K106="T",OR($G106="",$H106="",$I106="")),"REVISAR TRANSPORTE",IF($U106="REVISAR","REVISAR PRECEDENCIA","OK"))))))))</x:f>
      </x:c>
    </x:row>
    <x:row r="107" ht="24" customHeight="1">
      <x:c r="A107" s="326" t="str">
        <x:f>IF($E107="","",COUNTA($E$19:E107))</x:f>
      </x:c>
      <x:c r="B107" s="327"/>
      <x:c r="C107" s="327"/>
      <x:c r="D107" s="327"/>
      <x:c r="E107" s="328"/>
      <x:c r="F107" s="328"/>
      <x:c r="G107" s="328"/>
      <x:c r="H107" s="328"/>
      <x:c r="I107" s="329"/>
      <x:c r="J107" s="329"/>
      <x:c r="K107" s="327"/>
      <x:c r="L107" s="330" t="str">
        <x:f>IF($K107="O", "●", "")</x:f>
      </x:c>
      <x:c r="M107" s="331" t="str">
        <x:f>IF($K107="T", "➜", "")</x:f>
      </x:c>
      <x:c r="N107" s="332" t="str">
        <x:f>IF($K107="I", "■", "")</x:f>
      </x:c>
      <x:c r="O107" s="333" t="str">
        <x:f>IF($K107="E", "D", "")</x:f>
      </x:c>
      <x:c r="P107" s="334" t="str">
        <x:f>IF($K107="A", "▼", "")</x:f>
      </x:c>
      <x:c r="Q107" s="335"/>
      <x:c r="R107" s="335"/>
      <x:c r="S107" s="335"/>
      <x:c r="T107" s="335"/>
      <x:c r="U107" s="336" t="str">
        <x:f>IF(OR($B107="",$E107="",$K107="",AND($K107&lt;&gt;"A",$J107="")),"",IF(OR(AND($Q107&lt;&gt;"",COUNTIF($B$19:$B106,$Q107)=0),AND($R107&lt;&gt;"",COUNTIF($B$19:$B106,$R107)=0),AND($S107&lt;&gt;"",COUNTIF($B$19:$B106,$S107)=0),AND($T107&lt;&gt;"",COUNTIF($B$19:$B106,$T107)=0)),"REVISAR",MAX(IFERROR(INDEX($V$19:$V106,MATCH($Q107,$B$19:$B106,0)),0),IFERROR(INDEX($V$19:$V106,MATCH($R107,$B$19:$B106,0)),0),IFERROR(INDEX($V$19:$V106,MATCH($S107,$B$19:$B106,0)),0),IFERROR(INDEX($V$19:$V106,MATCH($T107,$B$19:$B106,0)),0))))</x:f>
      </x:c>
      <x:c r="V107" s="336" t="str">
        <x:f>IF(ISNUMBER($U107),$U107+IF($J107="",0,$J107),"")</x:f>
      </x:c>
      <x:c r="W107" s="337"/>
      <x:c r="X107" s="338" t="str">
        <x:f>IF(COUNTA($B107:$K107)+COUNTA($Q107:$T107)+COUNTA($W107)=0,"",IF($B107="","FALTA ID",IF(COUNTIF($B$19:$B$118,$B107)&gt;1,"ID REPETIDO",IF($E107="","FALTA DESCRIPCIÓN",IF($K107="","FALTA TIPO",IF(AND($K107&lt;&gt;"A",$J107=""),"FALTA TIEMPO",IF(AND($K107="T",OR($G107="",$H107="",$I107="")),"REVISAR TRANSPORTE",IF($U107="REVISAR","REVISAR PRECEDENCIA","OK"))))))))</x:f>
      </x:c>
    </x:row>
    <x:row r="108" ht="24" customHeight="1">
      <x:c r="A108" s="326" t="str">
        <x:f>IF($E108="","",COUNTA($E$19:E108))</x:f>
      </x:c>
      <x:c r="B108" s="327"/>
      <x:c r="C108" s="327"/>
      <x:c r="D108" s="327"/>
      <x:c r="E108" s="328"/>
      <x:c r="F108" s="328"/>
      <x:c r="G108" s="328"/>
      <x:c r="H108" s="328"/>
      <x:c r="I108" s="329"/>
      <x:c r="J108" s="329"/>
      <x:c r="K108" s="327"/>
      <x:c r="L108" s="330" t="str">
        <x:f>IF($K108="O", "●", "")</x:f>
      </x:c>
      <x:c r="M108" s="331" t="str">
        <x:f>IF($K108="T", "➜", "")</x:f>
      </x:c>
      <x:c r="N108" s="332" t="str">
        <x:f>IF($K108="I", "■", "")</x:f>
      </x:c>
      <x:c r="O108" s="333" t="str">
        <x:f>IF($K108="E", "D", "")</x:f>
      </x:c>
      <x:c r="P108" s="334" t="str">
        <x:f>IF($K108="A", "▼", "")</x:f>
      </x:c>
      <x:c r="Q108" s="335"/>
      <x:c r="R108" s="335"/>
      <x:c r="S108" s="335"/>
      <x:c r="T108" s="335"/>
      <x:c r="U108" s="336" t="str">
        <x:f>IF(OR($B108="",$E108="",$K108="",AND($K108&lt;&gt;"A",$J108="")),"",IF(OR(AND($Q108&lt;&gt;"",COUNTIF($B$19:$B107,$Q108)=0),AND($R108&lt;&gt;"",COUNTIF($B$19:$B107,$R108)=0),AND($S108&lt;&gt;"",COUNTIF($B$19:$B107,$S108)=0),AND($T108&lt;&gt;"",COUNTIF($B$19:$B107,$T108)=0)),"REVISAR",MAX(IFERROR(INDEX($V$19:$V107,MATCH($Q108,$B$19:$B107,0)),0),IFERROR(INDEX($V$19:$V107,MATCH($R108,$B$19:$B107,0)),0),IFERROR(INDEX($V$19:$V107,MATCH($S108,$B$19:$B107,0)),0),IFERROR(INDEX($V$19:$V107,MATCH($T108,$B$19:$B107,0)),0))))</x:f>
      </x:c>
      <x:c r="V108" s="336" t="str">
        <x:f>IF(ISNUMBER($U108),$U108+IF($J108="",0,$J108),"")</x:f>
      </x:c>
      <x:c r="W108" s="337"/>
      <x:c r="X108" s="338" t="str">
        <x:f>IF(COUNTA($B108:$K108)+COUNTA($Q108:$T108)+COUNTA($W108)=0,"",IF($B108="","FALTA ID",IF(COUNTIF($B$19:$B$118,$B108)&gt;1,"ID REPETIDO",IF($E108="","FALTA DESCRIPCIÓN",IF($K108="","FALTA TIPO",IF(AND($K108&lt;&gt;"A",$J108=""),"FALTA TIEMPO",IF(AND($K108="T",OR($G108="",$H108="",$I108="")),"REVISAR TRANSPORTE",IF($U108="REVISAR","REVISAR PRECEDENCIA","OK"))))))))</x:f>
      </x:c>
    </x:row>
    <x:row r="109" ht="24" customHeight="1">
      <x:c r="A109" s="326" t="str">
        <x:f>IF($E109="","",COUNTA($E$19:E109))</x:f>
      </x:c>
      <x:c r="B109" s="327"/>
      <x:c r="C109" s="327"/>
      <x:c r="D109" s="327"/>
      <x:c r="E109" s="328"/>
      <x:c r="F109" s="328"/>
      <x:c r="G109" s="328"/>
      <x:c r="H109" s="328"/>
      <x:c r="I109" s="329"/>
      <x:c r="J109" s="329"/>
      <x:c r="K109" s="327"/>
      <x:c r="L109" s="330" t="str">
        <x:f>IF($K109="O", "●", "")</x:f>
      </x:c>
      <x:c r="M109" s="331" t="str">
        <x:f>IF($K109="T", "➜", "")</x:f>
      </x:c>
      <x:c r="N109" s="332" t="str">
        <x:f>IF($K109="I", "■", "")</x:f>
      </x:c>
      <x:c r="O109" s="333" t="str">
        <x:f>IF($K109="E", "D", "")</x:f>
      </x:c>
      <x:c r="P109" s="334" t="str">
        <x:f>IF($K109="A", "▼", "")</x:f>
      </x:c>
      <x:c r="Q109" s="335"/>
      <x:c r="R109" s="335"/>
      <x:c r="S109" s="335"/>
      <x:c r="T109" s="335"/>
      <x:c r="U109" s="336" t="str">
        <x:f>IF(OR($B109="",$E109="",$K109="",AND($K109&lt;&gt;"A",$J109="")),"",IF(OR(AND($Q109&lt;&gt;"",COUNTIF($B$19:$B108,$Q109)=0),AND($R109&lt;&gt;"",COUNTIF($B$19:$B108,$R109)=0),AND($S109&lt;&gt;"",COUNTIF($B$19:$B108,$S109)=0),AND($T109&lt;&gt;"",COUNTIF($B$19:$B108,$T109)=0)),"REVISAR",MAX(IFERROR(INDEX($V$19:$V108,MATCH($Q109,$B$19:$B108,0)),0),IFERROR(INDEX($V$19:$V108,MATCH($R109,$B$19:$B108,0)),0),IFERROR(INDEX($V$19:$V108,MATCH($S109,$B$19:$B108,0)),0),IFERROR(INDEX($V$19:$V108,MATCH($T109,$B$19:$B108,0)),0))))</x:f>
      </x:c>
      <x:c r="V109" s="336" t="str">
        <x:f>IF(ISNUMBER($U109),$U109+IF($J109="",0,$J109),"")</x:f>
      </x:c>
      <x:c r="W109" s="337"/>
      <x:c r="X109" s="338" t="str">
        <x:f>IF(COUNTA($B109:$K109)+COUNTA($Q109:$T109)+COUNTA($W109)=0,"",IF($B109="","FALTA ID",IF(COUNTIF($B$19:$B$118,$B109)&gt;1,"ID REPETIDO",IF($E109="","FALTA DESCRIPCIÓN",IF($K109="","FALTA TIPO",IF(AND($K109&lt;&gt;"A",$J109=""),"FALTA TIEMPO",IF(AND($K109="T",OR($G109="",$H109="",$I109="")),"REVISAR TRANSPORTE",IF($U109="REVISAR","REVISAR PRECEDENCIA","OK"))))))))</x:f>
      </x:c>
    </x:row>
    <x:row r="110" ht="24" customHeight="1">
      <x:c r="A110" s="326" t="str">
        <x:f>IF($E110="","",COUNTA($E$19:E110))</x:f>
      </x:c>
      <x:c r="B110" s="327"/>
      <x:c r="C110" s="327"/>
      <x:c r="D110" s="327"/>
      <x:c r="E110" s="328"/>
      <x:c r="F110" s="328"/>
      <x:c r="G110" s="328"/>
      <x:c r="H110" s="328"/>
      <x:c r="I110" s="329"/>
      <x:c r="J110" s="329"/>
      <x:c r="K110" s="327"/>
      <x:c r="L110" s="330" t="str">
        <x:f>IF($K110="O", "●", "")</x:f>
      </x:c>
      <x:c r="M110" s="331" t="str">
        <x:f>IF($K110="T", "➜", "")</x:f>
      </x:c>
      <x:c r="N110" s="332" t="str">
        <x:f>IF($K110="I", "■", "")</x:f>
      </x:c>
      <x:c r="O110" s="333" t="str">
        <x:f>IF($K110="E", "D", "")</x:f>
      </x:c>
      <x:c r="P110" s="334" t="str">
        <x:f>IF($K110="A", "▼", "")</x:f>
      </x:c>
      <x:c r="Q110" s="335"/>
      <x:c r="R110" s="335"/>
      <x:c r="S110" s="335"/>
      <x:c r="T110" s="335"/>
      <x:c r="U110" s="336" t="str">
        <x:f>IF(OR($B110="",$E110="",$K110="",AND($K110&lt;&gt;"A",$J110="")),"",IF(OR(AND($Q110&lt;&gt;"",COUNTIF($B$19:$B109,$Q110)=0),AND($R110&lt;&gt;"",COUNTIF($B$19:$B109,$R110)=0),AND($S110&lt;&gt;"",COUNTIF($B$19:$B109,$S110)=0),AND($T110&lt;&gt;"",COUNTIF($B$19:$B109,$T110)=0)),"REVISAR",MAX(IFERROR(INDEX($V$19:$V109,MATCH($Q110,$B$19:$B109,0)),0),IFERROR(INDEX($V$19:$V109,MATCH($R110,$B$19:$B109,0)),0),IFERROR(INDEX($V$19:$V109,MATCH($S110,$B$19:$B109,0)),0),IFERROR(INDEX($V$19:$V109,MATCH($T110,$B$19:$B109,0)),0))))</x:f>
      </x:c>
      <x:c r="V110" s="336" t="str">
        <x:f>IF(ISNUMBER($U110),$U110+IF($J110="",0,$J110),"")</x:f>
      </x:c>
      <x:c r="W110" s="337"/>
      <x:c r="X110" s="338" t="str">
        <x:f>IF(COUNTA($B110:$K110)+COUNTA($Q110:$T110)+COUNTA($W110)=0,"",IF($B110="","FALTA ID",IF(COUNTIF($B$19:$B$118,$B110)&gt;1,"ID REPETIDO",IF($E110="","FALTA DESCRIPCIÓN",IF($K110="","FALTA TIPO",IF(AND($K110&lt;&gt;"A",$J110=""),"FALTA TIEMPO",IF(AND($K110="T",OR($G110="",$H110="",$I110="")),"REVISAR TRANSPORTE",IF($U110="REVISAR","REVISAR PRECEDENCIA","OK"))))))))</x:f>
      </x:c>
    </x:row>
    <x:row r="111" ht="24" customHeight="1">
      <x:c r="A111" s="326" t="str">
        <x:f>IF($E111="","",COUNTA($E$19:E111))</x:f>
      </x:c>
      <x:c r="B111" s="327"/>
      <x:c r="C111" s="327"/>
      <x:c r="D111" s="327"/>
      <x:c r="E111" s="328"/>
      <x:c r="F111" s="328"/>
      <x:c r="G111" s="328"/>
      <x:c r="H111" s="328"/>
      <x:c r="I111" s="329"/>
      <x:c r="J111" s="329"/>
      <x:c r="K111" s="327"/>
      <x:c r="L111" s="330" t="str">
        <x:f>IF($K111="O", "●", "")</x:f>
      </x:c>
      <x:c r="M111" s="331" t="str">
        <x:f>IF($K111="T", "➜", "")</x:f>
      </x:c>
      <x:c r="N111" s="332" t="str">
        <x:f>IF($K111="I", "■", "")</x:f>
      </x:c>
      <x:c r="O111" s="333" t="str">
        <x:f>IF($K111="E", "D", "")</x:f>
      </x:c>
      <x:c r="P111" s="334" t="str">
        <x:f>IF($K111="A", "▼", "")</x:f>
      </x:c>
      <x:c r="Q111" s="335"/>
      <x:c r="R111" s="335"/>
      <x:c r="S111" s="335"/>
      <x:c r="T111" s="335"/>
      <x:c r="U111" s="336" t="str">
        <x:f>IF(OR($B111="",$E111="",$K111="",AND($K111&lt;&gt;"A",$J111="")),"",IF(OR(AND($Q111&lt;&gt;"",COUNTIF($B$19:$B110,$Q111)=0),AND($R111&lt;&gt;"",COUNTIF($B$19:$B110,$R111)=0),AND($S111&lt;&gt;"",COUNTIF($B$19:$B110,$S111)=0),AND($T111&lt;&gt;"",COUNTIF($B$19:$B110,$T111)=0)),"REVISAR",MAX(IFERROR(INDEX($V$19:$V110,MATCH($Q111,$B$19:$B110,0)),0),IFERROR(INDEX($V$19:$V110,MATCH($R111,$B$19:$B110,0)),0),IFERROR(INDEX($V$19:$V110,MATCH($S111,$B$19:$B110,0)),0),IFERROR(INDEX($V$19:$V110,MATCH($T111,$B$19:$B110,0)),0))))</x:f>
      </x:c>
      <x:c r="V111" s="336" t="str">
        <x:f>IF(ISNUMBER($U111),$U111+IF($J111="",0,$J111),"")</x:f>
      </x:c>
      <x:c r="W111" s="337"/>
      <x:c r="X111" s="338" t="str">
        <x:f>IF(COUNTA($B111:$K111)+COUNTA($Q111:$T111)+COUNTA($W111)=0,"",IF($B111="","FALTA ID",IF(COUNTIF($B$19:$B$118,$B111)&gt;1,"ID REPETIDO",IF($E111="","FALTA DESCRIPCIÓN",IF($K111="","FALTA TIPO",IF(AND($K111&lt;&gt;"A",$J111=""),"FALTA TIEMPO",IF(AND($K111="T",OR($G111="",$H111="",$I111="")),"REVISAR TRANSPORTE",IF($U111="REVISAR","REVISAR PRECEDENCIA","OK"))))))))</x:f>
      </x:c>
    </x:row>
    <x:row r="112" ht="24" customHeight="1">
      <x:c r="A112" s="326" t="str">
        <x:f>IF($E112="","",COUNTA($E$19:E112))</x:f>
      </x:c>
      <x:c r="B112" s="327"/>
      <x:c r="C112" s="327"/>
      <x:c r="D112" s="327"/>
      <x:c r="E112" s="328"/>
      <x:c r="F112" s="328"/>
      <x:c r="G112" s="328"/>
      <x:c r="H112" s="328"/>
      <x:c r="I112" s="329"/>
      <x:c r="J112" s="329"/>
      <x:c r="K112" s="327"/>
      <x:c r="L112" s="330" t="str">
        <x:f>IF($K112="O", "●", "")</x:f>
      </x:c>
      <x:c r="M112" s="331" t="str">
        <x:f>IF($K112="T", "➜", "")</x:f>
      </x:c>
      <x:c r="N112" s="332" t="str">
        <x:f>IF($K112="I", "■", "")</x:f>
      </x:c>
      <x:c r="O112" s="333" t="str">
        <x:f>IF($K112="E", "D", "")</x:f>
      </x:c>
      <x:c r="P112" s="334" t="str">
        <x:f>IF($K112="A", "▼", "")</x:f>
      </x:c>
      <x:c r="Q112" s="335"/>
      <x:c r="R112" s="335"/>
      <x:c r="S112" s="335"/>
      <x:c r="T112" s="335"/>
      <x:c r="U112" s="336" t="str">
        <x:f>IF(OR($B112="",$E112="",$K112="",AND($K112&lt;&gt;"A",$J112="")),"",IF(OR(AND($Q112&lt;&gt;"",COUNTIF($B$19:$B111,$Q112)=0),AND($R112&lt;&gt;"",COUNTIF($B$19:$B111,$R112)=0),AND($S112&lt;&gt;"",COUNTIF($B$19:$B111,$S112)=0),AND($T112&lt;&gt;"",COUNTIF($B$19:$B111,$T112)=0)),"REVISAR",MAX(IFERROR(INDEX($V$19:$V111,MATCH($Q112,$B$19:$B111,0)),0),IFERROR(INDEX($V$19:$V111,MATCH($R112,$B$19:$B111,0)),0),IFERROR(INDEX($V$19:$V111,MATCH($S112,$B$19:$B111,0)),0),IFERROR(INDEX($V$19:$V111,MATCH($T112,$B$19:$B111,0)),0))))</x:f>
      </x:c>
      <x:c r="V112" s="336" t="str">
        <x:f>IF(ISNUMBER($U112),$U112+IF($J112="",0,$J112),"")</x:f>
      </x:c>
      <x:c r="W112" s="337"/>
      <x:c r="X112" s="338" t="str">
        <x:f>IF(COUNTA($B112:$K112)+COUNTA($Q112:$T112)+COUNTA($W112)=0,"",IF($B112="","FALTA ID",IF(COUNTIF($B$19:$B$118,$B112)&gt;1,"ID REPETIDO",IF($E112="","FALTA DESCRIPCIÓN",IF($K112="","FALTA TIPO",IF(AND($K112&lt;&gt;"A",$J112=""),"FALTA TIEMPO",IF(AND($K112="T",OR($G112="",$H112="",$I112="")),"REVISAR TRANSPORTE",IF($U112="REVISAR","REVISAR PRECEDENCIA","OK"))))))))</x:f>
      </x:c>
    </x:row>
    <x:row r="113" ht="24" customHeight="1">
      <x:c r="A113" s="326" t="str">
        <x:f>IF($E113="","",COUNTA($E$19:E113))</x:f>
      </x:c>
      <x:c r="B113" s="327"/>
      <x:c r="C113" s="327"/>
      <x:c r="D113" s="327"/>
      <x:c r="E113" s="328"/>
      <x:c r="F113" s="328"/>
      <x:c r="G113" s="328"/>
      <x:c r="H113" s="328"/>
      <x:c r="I113" s="329"/>
      <x:c r="J113" s="329"/>
      <x:c r="K113" s="327"/>
      <x:c r="L113" s="330" t="str">
        <x:f>IF($K113="O", "●", "")</x:f>
      </x:c>
      <x:c r="M113" s="331" t="str">
        <x:f>IF($K113="T", "➜", "")</x:f>
      </x:c>
      <x:c r="N113" s="332" t="str">
        <x:f>IF($K113="I", "■", "")</x:f>
      </x:c>
      <x:c r="O113" s="333" t="str">
        <x:f>IF($K113="E", "D", "")</x:f>
      </x:c>
      <x:c r="P113" s="334" t="str">
        <x:f>IF($K113="A", "▼", "")</x:f>
      </x:c>
      <x:c r="Q113" s="335"/>
      <x:c r="R113" s="335"/>
      <x:c r="S113" s="335"/>
      <x:c r="T113" s="335"/>
      <x:c r="U113" s="336" t="str">
        <x:f>IF(OR($B113="",$E113="",$K113="",AND($K113&lt;&gt;"A",$J113="")),"",IF(OR(AND($Q113&lt;&gt;"",COUNTIF($B$19:$B112,$Q113)=0),AND($R113&lt;&gt;"",COUNTIF($B$19:$B112,$R113)=0),AND($S113&lt;&gt;"",COUNTIF($B$19:$B112,$S113)=0),AND($T113&lt;&gt;"",COUNTIF($B$19:$B112,$T113)=0)),"REVISAR",MAX(IFERROR(INDEX($V$19:$V112,MATCH($Q113,$B$19:$B112,0)),0),IFERROR(INDEX($V$19:$V112,MATCH($R113,$B$19:$B112,0)),0),IFERROR(INDEX($V$19:$V112,MATCH($S113,$B$19:$B112,0)),0),IFERROR(INDEX($V$19:$V112,MATCH($T113,$B$19:$B112,0)),0))))</x:f>
      </x:c>
      <x:c r="V113" s="336" t="str">
        <x:f>IF(ISNUMBER($U113),$U113+IF($J113="",0,$J113),"")</x:f>
      </x:c>
      <x:c r="W113" s="337"/>
      <x:c r="X113" s="338" t="str">
        <x:f>IF(COUNTA($B113:$K113)+COUNTA($Q113:$T113)+COUNTA($W113)=0,"",IF($B113="","FALTA ID",IF(COUNTIF($B$19:$B$118,$B113)&gt;1,"ID REPETIDO",IF($E113="","FALTA DESCRIPCIÓN",IF($K113="","FALTA TIPO",IF(AND($K113&lt;&gt;"A",$J113=""),"FALTA TIEMPO",IF(AND($K113="T",OR($G113="",$H113="",$I113="")),"REVISAR TRANSPORTE",IF($U113="REVISAR","REVISAR PRECEDENCIA","OK"))))))))</x:f>
      </x:c>
    </x:row>
    <x:row r="114" ht="24" customHeight="1">
      <x:c r="A114" s="326" t="str">
        <x:f>IF($E114="","",COUNTA($E$19:E114))</x:f>
      </x:c>
      <x:c r="B114" s="327"/>
      <x:c r="C114" s="327"/>
      <x:c r="D114" s="327"/>
      <x:c r="E114" s="328"/>
      <x:c r="F114" s="328"/>
      <x:c r="G114" s="328"/>
      <x:c r="H114" s="328"/>
      <x:c r="I114" s="329"/>
      <x:c r="J114" s="329"/>
      <x:c r="K114" s="327"/>
      <x:c r="L114" s="330" t="str">
        <x:f>IF($K114="O", "●", "")</x:f>
      </x:c>
      <x:c r="M114" s="331" t="str">
        <x:f>IF($K114="T", "➜", "")</x:f>
      </x:c>
      <x:c r="N114" s="332" t="str">
        <x:f>IF($K114="I", "■", "")</x:f>
      </x:c>
      <x:c r="O114" s="333" t="str">
        <x:f>IF($K114="E", "D", "")</x:f>
      </x:c>
      <x:c r="P114" s="334" t="str">
        <x:f>IF($K114="A", "▼", "")</x:f>
      </x:c>
      <x:c r="Q114" s="335"/>
      <x:c r="R114" s="335"/>
      <x:c r="S114" s="335"/>
      <x:c r="T114" s="335"/>
      <x:c r="U114" s="336" t="str">
        <x:f>IF(OR($B114="",$E114="",$K114="",AND($K114&lt;&gt;"A",$J114="")),"",IF(OR(AND($Q114&lt;&gt;"",COUNTIF($B$19:$B113,$Q114)=0),AND($R114&lt;&gt;"",COUNTIF($B$19:$B113,$R114)=0),AND($S114&lt;&gt;"",COUNTIF($B$19:$B113,$S114)=0),AND($T114&lt;&gt;"",COUNTIF($B$19:$B113,$T114)=0)),"REVISAR",MAX(IFERROR(INDEX($V$19:$V113,MATCH($Q114,$B$19:$B113,0)),0),IFERROR(INDEX($V$19:$V113,MATCH($R114,$B$19:$B113,0)),0),IFERROR(INDEX($V$19:$V113,MATCH($S114,$B$19:$B113,0)),0),IFERROR(INDEX($V$19:$V113,MATCH($T114,$B$19:$B113,0)),0))))</x:f>
      </x:c>
      <x:c r="V114" s="336" t="str">
        <x:f>IF(ISNUMBER($U114),$U114+IF($J114="",0,$J114),"")</x:f>
      </x:c>
      <x:c r="W114" s="337"/>
      <x:c r="X114" s="338" t="str">
        <x:f>IF(COUNTA($B114:$K114)+COUNTA($Q114:$T114)+COUNTA($W114)=0,"",IF($B114="","FALTA ID",IF(COUNTIF($B$19:$B$118,$B114)&gt;1,"ID REPETIDO",IF($E114="","FALTA DESCRIPCIÓN",IF($K114="","FALTA TIPO",IF(AND($K114&lt;&gt;"A",$J114=""),"FALTA TIEMPO",IF(AND($K114="T",OR($G114="",$H114="",$I114="")),"REVISAR TRANSPORTE",IF($U114="REVISAR","REVISAR PRECEDENCIA","OK"))))))))</x:f>
      </x:c>
    </x:row>
    <x:row r="115" ht="24" customHeight="1">
      <x:c r="A115" s="326" t="str">
        <x:f>IF($E115="","",COUNTA($E$19:E115))</x:f>
      </x:c>
      <x:c r="B115" s="327"/>
      <x:c r="C115" s="327"/>
      <x:c r="D115" s="327"/>
      <x:c r="E115" s="328"/>
      <x:c r="F115" s="328"/>
      <x:c r="G115" s="328"/>
      <x:c r="H115" s="328"/>
      <x:c r="I115" s="329"/>
      <x:c r="J115" s="329"/>
      <x:c r="K115" s="327"/>
      <x:c r="L115" s="330" t="str">
        <x:f>IF($K115="O", "●", "")</x:f>
      </x:c>
      <x:c r="M115" s="331" t="str">
        <x:f>IF($K115="T", "➜", "")</x:f>
      </x:c>
      <x:c r="N115" s="332" t="str">
        <x:f>IF($K115="I", "■", "")</x:f>
      </x:c>
      <x:c r="O115" s="333" t="str">
        <x:f>IF($K115="E", "D", "")</x:f>
      </x:c>
      <x:c r="P115" s="334" t="str">
        <x:f>IF($K115="A", "▼", "")</x:f>
      </x:c>
      <x:c r="Q115" s="335"/>
      <x:c r="R115" s="335"/>
      <x:c r="S115" s="335"/>
      <x:c r="T115" s="335"/>
      <x:c r="U115" s="336" t="str">
        <x:f>IF(OR($B115="",$E115="",$K115="",AND($K115&lt;&gt;"A",$J115="")),"",IF(OR(AND($Q115&lt;&gt;"",COUNTIF($B$19:$B114,$Q115)=0),AND($R115&lt;&gt;"",COUNTIF($B$19:$B114,$R115)=0),AND($S115&lt;&gt;"",COUNTIF($B$19:$B114,$S115)=0),AND($T115&lt;&gt;"",COUNTIF($B$19:$B114,$T115)=0)),"REVISAR",MAX(IFERROR(INDEX($V$19:$V114,MATCH($Q115,$B$19:$B114,0)),0),IFERROR(INDEX($V$19:$V114,MATCH($R115,$B$19:$B114,0)),0),IFERROR(INDEX($V$19:$V114,MATCH($S115,$B$19:$B114,0)),0),IFERROR(INDEX($V$19:$V114,MATCH($T115,$B$19:$B114,0)),0))))</x:f>
      </x:c>
      <x:c r="V115" s="336" t="str">
        <x:f>IF(ISNUMBER($U115),$U115+IF($J115="",0,$J115),"")</x:f>
      </x:c>
      <x:c r="W115" s="337"/>
      <x:c r="X115" s="338" t="str">
        <x:f>IF(COUNTA($B115:$K115)+COUNTA($Q115:$T115)+COUNTA($W115)=0,"",IF($B115="","FALTA ID",IF(COUNTIF($B$19:$B$118,$B115)&gt;1,"ID REPETIDO",IF($E115="","FALTA DESCRIPCIÓN",IF($K115="","FALTA TIPO",IF(AND($K115&lt;&gt;"A",$J115=""),"FALTA TIEMPO",IF(AND($K115="T",OR($G115="",$H115="",$I115="")),"REVISAR TRANSPORTE",IF($U115="REVISAR","REVISAR PRECEDENCIA","OK"))))))))</x:f>
      </x:c>
    </x:row>
    <x:row r="116" ht="24" customHeight="1">
      <x:c r="A116" s="326" t="str">
        <x:f>IF($E116="","",COUNTA($E$19:E116))</x:f>
      </x:c>
      <x:c r="B116" s="327"/>
      <x:c r="C116" s="327"/>
      <x:c r="D116" s="327"/>
      <x:c r="E116" s="328"/>
      <x:c r="F116" s="328"/>
      <x:c r="G116" s="328"/>
      <x:c r="H116" s="328"/>
      <x:c r="I116" s="329"/>
      <x:c r="J116" s="329"/>
      <x:c r="K116" s="327"/>
      <x:c r="L116" s="330" t="str">
        <x:f>IF($K116="O", "●", "")</x:f>
      </x:c>
      <x:c r="M116" s="331" t="str">
        <x:f>IF($K116="T", "➜", "")</x:f>
      </x:c>
      <x:c r="N116" s="332" t="str">
        <x:f>IF($K116="I", "■", "")</x:f>
      </x:c>
      <x:c r="O116" s="333" t="str">
        <x:f>IF($K116="E", "D", "")</x:f>
      </x:c>
      <x:c r="P116" s="334" t="str">
        <x:f>IF($K116="A", "▼", "")</x:f>
      </x:c>
      <x:c r="Q116" s="335"/>
      <x:c r="R116" s="335"/>
      <x:c r="S116" s="335"/>
      <x:c r="T116" s="335"/>
      <x:c r="U116" s="336" t="str">
        <x:f>IF(OR($B116="",$E116="",$K116="",AND($K116&lt;&gt;"A",$J116="")),"",IF(OR(AND($Q116&lt;&gt;"",COUNTIF($B$19:$B115,$Q116)=0),AND($R116&lt;&gt;"",COUNTIF($B$19:$B115,$R116)=0),AND($S116&lt;&gt;"",COUNTIF($B$19:$B115,$S116)=0),AND($T116&lt;&gt;"",COUNTIF($B$19:$B115,$T116)=0)),"REVISAR",MAX(IFERROR(INDEX($V$19:$V115,MATCH($Q116,$B$19:$B115,0)),0),IFERROR(INDEX($V$19:$V115,MATCH($R116,$B$19:$B115,0)),0),IFERROR(INDEX($V$19:$V115,MATCH($S116,$B$19:$B115,0)),0),IFERROR(INDEX($V$19:$V115,MATCH($T116,$B$19:$B115,0)),0))))</x:f>
      </x:c>
      <x:c r="V116" s="336" t="str">
        <x:f>IF(ISNUMBER($U116),$U116+IF($J116="",0,$J116),"")</x:f>
      </x:c>
      <x:c r="W116" s="337"/>
      <x:c r="X116" s="338" t="str">
        <x:f>IF(COUNTA($B116:$K116)+COUNTA($Q116:$T116)+COUNTA($W116)=0,"",IF($B116="","FALTA ID",IF(COUNTIF($B$19:$B$118,$B116)&gt;1,"ID REPETIDO",IF($E116="","FALTA DESCRIPCIÓN",IF($K116="","FALTA TIPO",IF(AND($K116&lt;&gt;"A",$J116=""),"FALTA TIEMPO",IF(AND($K116="T",OR($G116="",$H116="",$I116="")),"REVISAR TRANSPORTE",IF($U116="REVISAR","REVISAR PRECEDENCIA","OK"))))))))</x:f>
      </x:c>
    </x:row>
    <x:row r="117" ht="24" customHeight="1">
      <x:c r="A117" s="326" t="str">
        <x:f>IF($E117="","",COUNTA($E$19:E117))</x:f>
      </x:c>
      <x:c r="B117" s="327"/>
      <x:c r="C117" s="327"/>
      <x:c r="D117" s="327"/>
      <x:c r="E117" s="328"/>
      <x:c r="F117" s="328"/>
      <x:c r="G117" s="328"/>
      <x:c r="H117" s="328"/>
      <x:c r="I117" s="329"/>
      <x:c r="J117" s="329"/>
      <x:c r="K117" s="327"/>
      <x:c r="L117" s="330" t="str">
        <x:f>IF($K117="O", "●", "")</x:f>
      </x:c>
      <x:c r="M117" s="331" t="str">
        <x:f>IF($K117="T", "➜", "")</x:f>
      </x:c>
      <x:c r="N117" s="332" t="str">
        <x:f>IF($K117="I", "■", "")</x:f>
      </x:c>
      <x:c r="O117" s="333" t="str">
        <x:f>IF($K117="E", "D", "")</x:f>
      </x:c>
      <x:c r="P117" s="334" t="str">
        <x:f>IF($K117="A", "▼", "")</x:f>
      </x:c>
      <x:c r="Q117" s="335"/>
      <x:c r="R117" s="335"/>
      <x:c r="S117" s="335"/>
      <x:c r="T117" s="335"/>
      <x:c r="U117" s="336" t="str">
        <x:f>IF(OR($B117="",$E117="",$K117="",AND($K117&lt;&gt;"A",$J117="")),"",IF(OR(AND($Q117&lt;&gt;"",COUNTIF($B$19:$B116,$Q117)=0),AND($R117&lt;&gt;"",COUNTIF($B$19:$B116,$R117)=0),AND($S117&lt;&gt;"",COUNTIF($B$19:$B116,$S117)=0),AND($T117&lt;&gt;"",COUNTIF($B$19:$B116,$T117)=0)),"REVISAR",MAX(IFERROR(INDEX($V$19:$V116,MATCH($Q117,$B$19:$B116,0)),0),IFERROR(INDEX($V$19:$V116,MATCH($R117,$B$19:$B116,0)),0),IFERROR(INDEX($V$19:$V116,MATCH($S117,$B$19:$B116,0)),0),IFERROR(INDEX($V$19:$V116,MATCH($T117,$B$19:$B116,0)),0))))</x:f>
      </x:c>
      <x:c r="V117" s="336" t="str">
        <x:f>IF(ISNUMBER($U117),$U117+IF($J117="",0,$J117),"")</x:f>
      </x:c>
      <x:c r="W117" s="337"/>
      <x:c r="X117" s="338" t="str">
        <x:f>IF(COUNTA($B117:$K117)+COUNTA($Q117:$T117)+COUNTA($W117)=0,"",IF($B117="","FALTA ID",IF(COUNTIF($B$19:$B$118,$B117)&gt;1,"ID REPETIDO",IF($E117="","FALTA DESCRIPCIÓN",IF($K117="","FALTA TIPO",IF(AND($K117&lt;&gt;"A",$J117=""),"FALTA TIEMPO",IF(AND($K117="T",OR($G117="",$H117="",$I117="")),"REVISAR TRANSPORTE",IF($U117="REVISAR","REVISAR PRECEDENCIA","OK"))))))))</x:f>
      </x:c>
    </x:row>
    <x:row r="118" ht="24" customHeight="1">
      <x:c r="A118" s="326" t="str">
        <x:f>IF($E118="","",COUNTA($E$19:E118))</x:f>
      </x:c>
      <x:c r="B118" s="327"/>
      <x:c r="C118" s="327"/>
      <x:c r="D118" s="327"/>
      <x:c r="E118" s="328"/>
      <x:c r="F118" s="328"/>
      <x:c r="G118" s="328"/>
      <x:c r="H118" s="328"/>
      <x:c r="I118" s="329"/>
      <x:c r="J118" s="329"/>
      <x:c r="K118" s="327"/>
      <x:c r="L118" s="330" t="str">
        <x:f>IF($K118="O", "●", "")</x:f>
      </x:c>
      <x:c r="M118" s="331" t="str">
        <x:f>IF($K118="T", "➜", "")</x:f>
      </x:c>
      <x:c r="N118" s="332" t="str">
        <x:f>IF($K118="I", "■", "")</x:f>
      </x:c>
      <x:c r="O118" s="333" t="str">
        <x:f>IF($K118="E", "D", "")</x:f>
      </x:c>
      <x:c r="P118" s="334" t="str">
        <x:f>IF($K118="A", "▼", "")</x:f>
      </x:c>
      <x:c r="Q118" s="335"/>
      <x:c r="R118" s="335"/>
      <x:c r="S118" s="335"/>
      <x:c r="T118" s="335"/>
      <x:c r="U118" s="336" t="str">
        <x:f>IF(OR($B118="",$E118="",$K118="",AND($K118&lt;&gt;"A",$J118="")),"",IF(OR(AND($Q118&lt;&gt;"",COUNTIF($B$19:$B117,$Q118)=0),AND($R118&lt;&gt;"",COUNTIF($B$19:$B117,$R118)=0),AND($S118&lt;&gt;"",COUNTIF($B$19:$B117,$S118)=0),AND($T118&lt;&gt;"",COUNTIF($B$19:$B117,$T118)=0)),"REVISAR",MAX(IFERROR(INDEX($V$19:$V117,MATCH($Q118,$B$19:$B117,0)),0),IFERROR(INDEX($V$19:$V117,MATCH($R118,$B$19:$B117,0)),0),IFERROR(INDEX($V$19:$V117,MATCH($S118,$B$19:$B117,0)),0),IFERROR(INDEX($V$19:$V117,MATCH($T118,$B$19:$B117,0)),0))))</x:f>
      </x:c>
      <x:c r="V118" s="336" t="str">
        <x:f>IF(ISNUMBER($U118),$U118+IF($J118="",0,$J118),"")</x:f>
      </x:c>
      <x:c r="W118" s="337"/>
      <x:c r="X118" s="338" t="str">
        <x:f>IF(COUNTA($B118:$K118)+COUNTA($Q118:$T118)+COUNTA($W118)=0,"",IF($B118="","FALTA ID",IF(COUNTIF($B$19:$B$118,$B118)&gt;1,"ID REPETIDO",IF($E118="","FALTA DESCRIPCIÓN",IF($K118="","FALTA TIPO",IF(AND($K118&lt;&gt;"A",$J118=""),"FALTA TIEMPO",IF(AND($K118="T",OR($G118="",$H118="",$I118="")),"REVISAR TRANSPORTE",IF($U118="REVISAR","REVISAR PRECEDENCIA","OK"))))))))</x:f>
      </x:c>
    </x:row>
    <x:row r="119" ht="25" customHeight="1">
      <x:c r="A119" s="339" t="str">
        <x:v>TOTALES DEL CURSOGRAMA</x:v>
      </x:c>
      <x:c r="B119" s="340"/>
      <x:c r="C119" s="340"/>
      <x:c r="D119" s="340"/>
      <x:c r="E119" s="340"/>
      <x:c r="F119" s="340"/>
      <x:c r="G119" s="340"/>
      <x:c r="H119" s="340"/>
      <x:c r="I119" s="341" t="n">
        <x:f>SUM(I19:I118)</x:f>
        <x:v>0</x:v>
      </x:c>
      <x:c r="J119" s="341" t="n">
        <x:f>SUM(J19:J118)</x:f>
        <x:v>0</x:v>
      </x:c>
      <x:c r="K119" s="342"/>
      <x:c r="L119" s="342" t="n">
        <x:f>COUNTIF($K$19:$K$118,"O")</x:f>
        <x:v>0</x:v>
      </x:c>
      <x:c r="M119" s="342" t="n">
        <x:f>COUNTIF($K$19:$K$118,"T")</x:f>
        <x:v>0</x:v>
      </x:c>
      <x:c r="N119" s="342" t="n">
        <x:f>COUNTIF($K$19:$K$118,"I")</x:f>
        <x:v>0</x:v>
      </x:c>
      <x:c r="O119" s="342" t="n">
        <x:f>COUNTIF($K$19:$K$118,"E")</x:f>
        <x:v>0</x:v>
      </x:c>
      <x:c r="P119" s="342" t="n">
        <x:f>COUNTIF($K$19:$K$118,"A")</x:f>
        <x:v>0</x:v>
      </x:c>
      <x:c r="Q119" s="343" t="str">
        <x:v>FIN TEÓRICO (si está validado)</x:v>
      </x:c>
      <x:c r="R119" s="343"/>
      <x:c r="S119" s="343"/>
      <x:c r="T119" s="343"/>
      <x:c r="U119" s="344"/>
      <x:c r="V119" s="341" t="str">
        <x:f>IF(COUNTIF($X$19:$X$118,"OK")=0,"",IF(COUNTIF($X$19:$X$118,"FALTA*")+COUNTIF($X$19:$X$118,"REVISAR*")+COUNTIF($X$19:$X$118,"ID REPETIDO")&gt;0,"REVISAR",MAX($V$19:$V$118)))</x:f>
      </x:c>
      <x:c r="W119" s="345" t="str">
        <x:v>MÉTODO ACTUAL</x:v>
      </x:c>
      <x:c r="X119" s="346"/>
    </x:row>
    <x:row r="120" ht="21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</x:row>
    <x:row r="121" ht="21" customHeight="1">
      <x:c r="A121" s="298" t="str">
        <x:v>OBSERVACIONES DEL ESTUDIO · AJUSTES DEL MÉTODO</x:v>
      </x:c>
      <x:c r="B121" s="299"/>
      <x:c r="C121" s="299"/>
      <x:c r="D121" s="299"/>
      <x:c r="E121" s="299"/>
      <x:c r="F121" s="299"/>
      <x:c r="G121" s="299"/>
      <x:c r="H121" s="299"/>
      <x:c r="I121" s="299"/>
      <x:c r="J121" s="299"/>
      <x:c r="K121" s="299"/>
      <x:c r="L121" s="299"/>
      <x:c r="M121" s="299"/>
      <x:c r="N121" s="299"/>
      <x:c r="O121" s="299"/>
      <x:c r="P121" s="299"/>
      <x:c r="Q121" s="299"/>
      <x:c r="R121" s="299"/>
      <x:c r="S121" s="299"/>
      <x:c r="T121" s="299"/>
      <x:c r="U121" s="299"/>
      <x:c r="V121" s="299"/>
      <x:c r="W121" s="299"/>
      <x:c r="X121" s="300"/>
    </x:row>
    <x:row r="122" ht="21" customHeight="1">
      <x:c r="A122" s="301" t="str"/>
      <x:c r="B122" s="203"/>
      <x:c r="C122" s="203"/>
      <x:c r="D122" s="203"/>
      <x:c r="E122" s="203"/>
      <x:c r="F122" s="203"/>
      <x:c r="G122" s="203"/>
      <x:c r="H122" s="203"/>
      <x:c r="I122" s="203"/>
      <x:c r="J122" s="203"/>
      <x:c r="K122" s="203"/>
      <x:c r="L122" s="203"/>
      <x:c r="M122" s="203"/>
      <x:c r="N122" s="203"/>
      <x:c r="O122" s="203"/>
      <x:c r="P122" s="203"/>
      <x:c r="Q122" s="203"/>
      <x:c r="R122" s="203"/>
      <x:c r="S122" s="203"/>
      <x:c r="T122" s="203"/>
      <x:c r="U122" s="203"/>
      <x:c r="V122" s="203"/>
      <x:c r="W122" s="203"/>
      <x:c r="X122" s="302"/>
    </x:row>
    <x:row r="123" ht="21" customHeight="1">
      <x:c r="A123" s="301"/>
      <x:c r="B123" s="203"/>
      <x:c r="C123" s="203"/>
      <x:c r="D123" s="203"/>
      <x:c r="E123" s="203"/>
      <x:c r="F123" s="203"/>
      <x:c r="G123" s="203"/>
      <x:c r="H123" s="203"/>
      <x:c r="I123" s="203"/>
      <x:c r="J123" s="203"/>
      <x:c r="K123" s="203"/>
      <x:c r="L123" s="203"/>
      <x:c r="M123" s="203"/>
      <x:c r="N123" s="203"/>
      <x:c r="O123" s="203"/>
      <x:c r="P123" s="203"/>
      <x:c r="Q123" s="203"/>
      <x:c r="R123" s="203"/>
      <x:c r="S123" s="203"/>
      <x:c r="T123" s="203"/>
      <x:c r="U123" s="203"/>
      <x:c r="V123" s="203"/>
      <x:c r="W123" s="203"/>
      <x:c r="X123" s="302"/>
    </x:row>
    <x:row r="124" ht="21" customHeight="1">
      <x:c r="A124" s="301"/>
      <x:c r="B124" s="203"/>
      <x:c r="C124" s="203"/>
      <x:c r="D124" s="203"/>
      <x:c r="E124" s="203"/>
      <x:c r="F124" s="203"/>
      <x:c r="G124" s="203"/>
      <x:c r="H124" s="203"/>
      <x:c r="I124" s="203"/>
      <x:c r="J124" s="203"/>
      <x:c r="K124" s="203"/>
      <x:c r="L124" s="203"/>
      <x:c r="M124" s="203"/>
      <x:c r="N124" s="203"/>
      <x:c r="O124" s="203"/>
      <x:c r="P124" s="203"/>
      <x:c r="Q124" s="203"/>
      <x:c r="R124" s="203"/>
      <x:c r="S124" s="203"/>
      <x:c r="T124" s="203"/>
      <x:c r="U124" s="203"/>
      <x:c r="V124" s="203"/>
      <x:c r="W124" s="203"/>
      <x:c r="X124" s="302"/>
    </x:row>
    <x:row r="125" ht="21" customHeight="1">
      <x:c r="A125" s="303"/>
      <x:c r="B125" s="304"/>
      <x:c r="C125" s="304"/>
      <x:c r="D125" s="304"/>
      <x:c r="E125" s="304"/>
      <x:c r="F125" s="304"/>
      <x:c r="G125" s="304"/>
      <x:c r="H125" s="304"/>
      <x:c r="I125" s="304"/>
      <x:c r="J125" s="304"/>
      <x:c r="K125" s="304"/>
      <x:c r="L125" s="304"/>
      <x:c r="M125" s="304"/>
      <x:c r="N125" s="304"/>
      <x:c r="O125" s="304"/>
      <x:c r="P125" s="304"/>
      <x:c r="Q125" s="304"/>
      <x:c r="R125" s="304"/>
      <x:c r="S125" s="304"/>
      <x:c r="T125" s="304"/>
      <x:c r="U125" s="304"/>
      <x:c r="V125" s="304"/>
      <x:c r="W125" s="304"/>
      <x:c r="X125" s="305"/>
    </x:row>
    <x:row r="126" ht="21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</x:row>
    <x:row r="127" ht="21" customHeight="1">
      <x:c r="A127" s="207" t="str">
        <x:v>O = operación   |   T = transporte   |   I = inspección   |   E = espera   |   A = almacenamiento.  El almacenamiento sin duración puede dejarse en blanco: registra el ingreso, no la permanencia.</x:v>
      </x:c>
      <x:c r="B127" s="207"/>
      <x:c r="C127" s="207"/>
      <x:c r="D127" s="207"/>
      <x:c r="E127" s="207"/>
      <x:c r="F127" s="207"/>
      <x:c r="G127" s="207"/>
      <x:c r="H127" s="207"/>
      <x:c r="I127" s="207"/>
      <x:c r="J127" s="207"/>
      <x:c r="K127" s="207"/>
      <x:c r="L127" s="207"/>
      <x:c r="M127" s="207"/>
      <x:c r="N127" s="207"/>
      <x:c r="O127" s="207"/>
      <x:c r="P127" s="207"/>
      <x:c r="Q127" s="207"/>
      <x:c r="R127" s="207"/>
      <x:c r="S127" s="207"/>
      <x:c r="T127" s="207"/>
      <x:c r="U127" s="207"/>
      <x:c r="V127" s="207"/>
      <x:c r="W127" s="207"/>
      <x:c r="X127" s="207"/>
    </x:row>
  </x:sheetData>
  <x:mergeCells>
    <x:mergeCell ref="A1:X2"/>
    <x:mergeCell ref="A3:X3"/>
    <x:mergeCell ref="A4:C4"/>
    <x:mergeCell ref="D4:F4"/>
    <x:mergeCell ref="G4:I4"/>
    <x:mergeCell ref="J4:K4"/>
    <x:mergeCell ref="L4:Q4"/>
    <x:mergeCell ref="R4:X4"/>
    <x:mergeCell ref="A5:K5"/>
    <x:mergeCell ref="L5:X5"/>
    <x:mergeCell ref="A6:C6"/>
    <x:mergeCell ref="D6:K6"/>
    <x:mergeCell ref="A7:C7"/>
    <x:mergeCell ref="D7:K7"/>
    <x:mergeCell ref="A8:C8"/>
    <x:mergeCell ref="D8:K8"/>
    <x:mergeCell ref="A9:C9"/>
    <x:mergeCell ref="D9:K9"/>
    <x:mergeCell ref="A10:C10"/>
    <x:mergeCell ref="D10:K10"/>
    <x:mergeCell ref="A11:C11"/>
    <x:mergeCell ref="D11:K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M6:R6"/>
    <x:mergeCell ref="M7:R7"/>
    <x:mergeCell ref="M8:R8"/>
    <x:mergeCell ref="M9:R9"/>
    <x:mergeCell ref="M10:R10"/>
    <x:mergeCell ref="M11:R11"/>
    <x:mergeCell ref="L12:R12"/>
    <x:mergeCell ref="L13:R13"/>
    <x:mergeCell ref="L14:R14"/>
    <x:mergeCell ref="L15:R15"/>
    <x:mergeCell ref="A16:X16"/>
    <x:mergeCell ref="A17:A18"/>
    <x:mergeCell ref="B17:B18"/>
    <x:mergeCell ref="C17:C18"/>
    <x:mergeCell ref="D17:D18"/>
    <x:mergeCell ref="E17:E18"/>
    <x:mergeCell ref="F17:F18"/>
    <x:mergeCell ref="G17:G18"/>
    <x:mergeCell ref="H17:H18"/>
    <x:mergeCell ref="I17:I18"/>
    <x:mergeCell ref="J17:J18"/>
    <x:mergeCell ref="K17:K18"/>
    <x:mergeCell ref="L17:P17"/>
    <x:mergeCell ref="Q17:T17"/>
    <x:mergeCell ref="U17:V17"/>
    <x:mergeCell ref="W17:W18"/>
    <x:mergeCell ref="X17:X18"/>
    <x:mergeCell ref="A119:H119"/>
    <x:mergeCell ref="Q119:U119"/>
    <x:mergeCell ref="W119:X119"/>
    <x:mergeCell ref="A121:X121"/>
    <x:mergeCell ref="A122:X125"/>
    <x:mergeCell ref="A127:X127"/>
  </x:mergeCells>
  <x:conditionalFormatting sqref="X19:X118">
    <x:cfRule type="expression" dxfId="0" priority="1">
      <x:formula>AND($X19&lt;&gt;"",$X19&lt;&gt;"OK")</x:formula>
    </x:cfRule>
  </x:conditionalFormatting>
  <x:conditionalFormatting sqref="C19:C118">
    <x:cfRule type="expression" dxfId="1" priority="2">
      <x:formula>AND($C19&lt;&gt;"",$C19&lt;&gt;$C18)</x:formula>
    </x:cfRule>
  </x:conditionalFormatting>
  <x:dataValidations count="2">
    <x:dataValidation type="list" sqref="D15">
      <x:formula1>"Material,Operario,Equipo"</x:formula1>
    </x:dataValidation>
    <x:dataValidation type="list" sqref="K19:K118">
      <x:formula1>"O,T,I,E,A"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8" topLeftCell="A19" activePane="bottomLeft" state="frozen"/>
    </x:sheetView>
  </x:sheetViews>
  <x:sheetFormatPr defaultRowHeight="15"/>
  <x:cols>
    <x:col min="1" max="1" width="5.5" hidden="0" customWidth="1"/>
    <x:col min="2" max="2" width="10" hidden="0" customWidth="1"/>
    <x:col min="3" max="3" width="15" hidden="0" customWidth="1"/>
    <x:col min="4" max="4" width="19" hidden="0" customWidth="1"/>
    <x:col min="5" max="5" width="42" hidden="0" customWidth="1"/>
    <x:col min="6" max="6" width="7" hidden="0" customWidth="1"/>
    <x:col min="7" max="7" width="13" hidden="0" customWidth="1"/>
    <x:col min="8" max="8" width="13" hidden="0" customWidth="1"/>
    <x:col min="9" max="9" width="9.5" hidden="0" customWidth="1"/>
    <x:col min="10" max="10" width="11.5" hidden="0" customWidth="1"/>
    <x:col min="11" max="11" width="8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32" hidden="0" customWidth="1"/>
    <x:col min="24" max="24" width="21" hidden="0" customWidth="1"/>
  </x:cols>
  <x:sheetData>
    <x:row r="1" ht="24" customHeight="1">
      <x:c r="A1" s="210" t="str">
        <x:v>CURSOGRAMA ANALÍTICO DEL PROCESO</x:v>
      </x:c>
      <x:c r="B1" s="211"/>
      <x:c r="C1" s="211"/>
      <x:c r="D1" s="211"/>
      <x:c r="E1" s="211"/>
      <x:c r="F1" s="211"/>
      <x:c r="G1" s="211"/>
      <x:c r="H1" s="211"/>
      <x:c r="I1" s="211"/>
      <x:c r="J1" s="211"/>
      <x:c r="K1" s="211"/>
      <x:c r="L1" s="211"/>
      <x:c r="M1" s="211"/>
      <x:c r="N1" s="211"/>
      <x:c r="O1" s="211"/>
      <x:c r="P1" s="211"/>
      <x:c r="Q1" s="211"/>
      <x:c r="R1" s="211"/>
      <x:c r="S1" s="211"/>
      <x:c r="T1" s="211"/>
      <x:c r="U1" s="211"/>
      <x:c r="V1" s="211"/>
      <x:c r="W1" s="211"/>
      <x:c r="X1" s="212"/>
    </x:row>
    <x:row r="2" ht="24" customHeight="1">
      <x:c r="A2" s="213"/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  <x:c r="O2" s="214"/>
      <x:c r="P2" s="214"/>
      <x:c r="Q2" s="214"/>
      <x:c r="R2" s="214"/>
      <x:c r="S2" s="214"/>
      <x:c r="T2" s="214"/>
      <x:c r="U2" s="214"/>
      <x:c r="V2" s="214"/>
      <x:c r="W2" s="214"/>
      <x:c r="X2" s="215"/>
    </x:row>
    <x:row r="3" ht="21" customHeight="1">
      <x:c r="A3" s="16" t="str">
        <x:v>ESTUDIO DE MÉTODOS   |   Los símbolos y el resumen conservan el formato tradicional   |   Identifique el objeto seguido y las ramas antes de registrar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</x:row>
    <x:row r="4" ht="21" customHeight="1">
      <x:c r="A4" s="21" t="str">
        <x:v>Hoja N.º</x:v>
      </x:c>
      <x:c r="B4" s="21"/>
      <x:c r="C4" s="21"/>
      <x:c r="D4" s="4" t="str">
        <x:v>1 de 1</x:v>
      </x:c>
      <x:c r="E4" s="4"/>
      <x:c r="F4" s="4"/>
      <x:c r="G4" s="21" t="str">
        <x:v>Diagrama N.º</x:v>
      </x:c>
      <x:c r="H4" s="21"/>
      <x:c r="I4" s="21"/>
      <x:c r="J4" s="4" t="str"/>
      <x:c r="K4" s="4"/>
      <x:c r="L4" s="21" t="str">
        <x:v>TIPO: Operario / Material / Equipo</x:v>
      </x:c>
      <x:c r="M4" s="21"/>
      <x:c r="N4" s="21"/>
      <x:c r="O4" s="21"/>
      <x:c r="P4" s="21"/>
      <x:c r="Q4" s="21"/>
      <x:c r="R4" s="26" t="str">
        <x:v>MÉTODO: PROPUESTO</x:v>
      </x:c>
      <x:c r="S4" s="26"/>
      <x:c r="T4" s="26"/>
      <x:c r="U4" s="26"/>
      <x:c r="V4" s="26"/>
      <x:c r="W4" s="26"/>
      <x:c r="X4" s="26"/>
    </x:row>
    <x:row r="5" ht="21" customHeight="1">
      <x:c r="A5" s="222" t="str">
        <x:v>DATOS DEL ESTUDIO</x:v>
      </x:c>
      <x:c r="B5" s="223"/>
      <x:c r="C5" s="223"/>
      <x:c r="D5" s="223"/>
      <x:c r="E5" s="223"/>
      <x:c r="F5" s="223"/>
      <x:c r="G5" s="223"/>
      <x:c r="H5" s="223"/>
      <x:c r="I5" s="223"/>
      <x:c r="J5" s="223"/>
      <x:c r="K5" s="224"/>
      <x:c r="L5" s="222" t="str">
        <x:v>RESUMEN DE ACTIVIDADES · ACTUAL / PROPUESTO</x:v>
      </x:c>
      <x:c r="M5" s="223"/>
      <x:c r="N5" s="223"/>
      <x:c r="O5" s="223"/>
      <x:c r="P5" s="223"/>
      <x:c r="Q5" s="223"/>
      <x:c r="R5" s="223"/>
      <x:c r="S5" s="223"/>
      <x:c r="T5" s="223"/>
      <x:c r="U5" s="223"/>
      <x:c r="V5" s="223"/>
      <x:c r="W5" s="223"/>
      <x:c r="X5" s="224"/>
    </x:row>
    <x:row r="6" ht="23" customHeight="1">
      <x:c r="A6" s="225" t="str">
        <x:v>Proceso:</x:v>
      </x:c>
      <x:c r="B6" s="37"/>
      <x:c r="C6" s="37"/>
      <x:c r="D6" s="40" t="str"/>
      <x:c r="E6" s="40"/>
      <x:c r="F6" s="40"/>
      <x:c r="G6" s="40"/>
      <x:c r="H6" s="40"/>
      <x:c r="I6" s="40"/>
      <x:c r="J6" s="40"/>
      <x:c r="K6" s="226"/>
      <x:c r="L6" s="240" t="str">
        <x:v>SÍM.</x:v>
      </x:c>
      <x:c r="M6" s="45" t="str">
        <x:v>ACTIVIDAD</x:v>
      </x:c>
      <x:c r="N6" s="45" t="str"/>
      <x:c r="O6" s="45" t="str"/>
      <x:c r="P6" s="45" t="str"/>
      <x:c r="Q6" s="45" t="str"/>
      <x:c r="R6" s="45" t="str"/>
      <x:c r="S6" s="45" t="str">
        <x:v>ACT.</x:v>
      </x:c>
      <x:c r="T6" s="45" t="str">
        <x:v>PROP.</x:v>
      </x:c>
      <x:c r="U6" s="45" t="str">
        <x:v>ECON.</x:v>
      </x:c>
      <x:c r="V6" s="45" t="str">
        <x:v>MIN ACT.</x:v>
      </x:c>
      <x:c r="W6" s="45" t="str">
        <x:v>MIN PROP.</x:v>
      </x:c>
      <x:c r="X6" s="241" t="str">
        <x:v>NOTA</x:v>
      </x:c>
    </x:row>
    <x:row r="7" ht="21" customHeight="1">
      <x:c r="A7" s="225" t="str">
        <x:v>Producto / objeto:</x:v>
      </x:c>
      <x:c r="B7" s="37"/>
      <x:c r="C7" s="37"/>
      <x:c r="D7" s="40" t="str"/>
      <x:c r="E7" s="40"/>
      <x:c r="F7" s="40"/>
      <x:c r="G7" s="40"/>
      <x:c r="H7" s="40"/>
      <x:c r="I7" s="40"/>
      <x:c r="J7" s="40"/>
      <x:c r="K7" s="226"/>
      <x:c r="L7" s="242" t="str">
        <x:v>●</x:v>
      </x:c>
      <x:c r="M7" s="55" t="str">
        <x:v>Operación</x:v>
      </x:c>
      <x:c r="N7" s="55"/>
      <x:c r="O7" s="55"/>
      <x:c r="P7" s="55"/>
      <x:c r="Q7" s="55"/>
      <x:c r="R7" s="55"/>
      <x:c r="S7" s="78" t="n">
        <x:f>COUNTIF(ACTUAL!$K$19:$K$118,"O")</x:f>
        <x:v>0</x:v>
      </x:c>
      <x:c r="T7" s="78" t="n">
        <x:f>COUNTIF(PROPUESTO!$K$19:$K$118,"O")</x:f>
        <x:v>0</x:v>
      </x:c>
      <x:c r="U7" s="80" t="n">
        <x:f>S7-T7</x:f>
        <x:v>0</x:v>
      </x:c>
      <x:c r="V7" s="78" t="n">
        <x:f>SUMIF(ACTUAL!$K$19:$K$118,"O",ACTUAL!$J$19:$J$118)</x:f>
        <x:v>0</x:v>
      </x:c>
      <x:c r="W7" s="78" t="n">
        <x:f>SUMIF(PROPUESTO!$K$19:$K$118,"O",PROPUESTO!$J$19:$J$118)</x:f>
        <x:v>0</x:v>
      </x:c>
      <x:c r="X7" s="243" t="str">
        <x:v>Revisar necesidad</x:v>
      </x:c>
    </x:row>
    <x:row r="8" ht="21" customHeight="1">
      <x:c r="A8" s="225" t="str">
        <x:v>Fecha del estudio:</x:v>
      </x:c>
      <x:c r="B8" s="37"/>
      <x:c r="C8" s="37"/>
      <x:c r="D8" s="40" t="str"/>
      <x:c r="E8" s="40"/>
      <x:c r="F8" s="40"/>
      <x:c r="G8" s="40"/>
      <x:c r="H8" s="40"/>
      <x:c r="I8" s="40"/>
      <x:c r="J8" s="40"/>
      <x:c r="K8" s="226"/>
      <x:c r="L8" s="244" t="str">
        <x:v>➜</x:v>
      </x:c>
      <x:c r="M8" s="55" t="str">
        <x:v>Transporte</x:v>
      </x:c>
      <x:c r="N8" s="55"/>
      <x:c r="O8" s="55"/>
      <x:c r="P8" s="55"/>
      <x:c r="Q8" s="55"/>
      <x:c r="R8" s="55"/>
      <x:c r="S8" s="78" t="n">
        <x:f>COUNTIF(ACTUAL!$K$19:$K$118,"T")</x:f>
        <x:v>0</x:v>
      </x:c>
      <x:c r="T8" s="78" t="n">
        <x:f>COUNTIF(PROPUESTO!$K$19:$K$118,"T")</x:f>
        <x:v>0</x:v>
      </x:c>
      <x:c r="U8" s="80" t="n">
        <x:f>S8-T8</x:f>
        <x:v>0</x:v>
      </x:c>
      <x:c r="V8" s="78" t="n">
        <x:f>SUMIF(ACTUAL!$K$19:$K$118,"T",ACTUAL!$J$19:$J$118)</x:f>
        <x:v>0</x:v>
      </x:c>
      <x:c r="W8" s="78" t="n">
        <x:f>SUMIF(PROPUESTO!$K$19:$K$118,"T",PROPUESTO!$J$19:$J$118)</x:f>
        <x:v>0</x:v>
      </x:c>
      <x:c r="X8" s="243" t="str">
        <x:v>Menos es favorable</x:v>
      </x:c>
    </x:row>
    <x:row r="9" ht="21" customHeight="1">
      <x:c r="A9" s="225" t="str">
        <x:v>El estudio inicia en:</x:v>
      </x:c>
      <x:c r="B9" s="37"/>
      <x:c r="C9" s="37"/>
      <x:c r="D9" s="40" t="str"/>
      <x:c r="E9" s="40"/>
      <x:c r="F9" s="40"/>
      <x:c r="G9" s="40"/>
      <x:c r="H9" s="40"/>
      <x:c r="I9" s="40"/>
      <x:c r="J9" s="40"/>
      <x:c r="K9" s="226"/>
      <x:c r="L9" s="245" t="str">
        <x:v>■</x:v>
      </x:c>
      <x:c r="M9" s="55" t="str">
        <x:v>Inspección</x:v>
      </x:c>
      <x:c r="N9" s="55"/>
      <x:c r="O9" s="55"/>
      <x:c r="P9" s="55"/>
      <x:c r="Q9" s="55"/>
      <x:c r="R9" s="55"/>
      <x:c r="S9" s="78" t="n">
        <x:f>COUNTIF(ACTUAL!$K$19:$K$118,"I")</x:f>
        <x:v>0</x:v>
      </x:c>
      <x:c r="T9" s="78" t="n">
        <x:f>COUNTIF(PROPUESTO!$K$19:$K$118,"I")</x:f>
        <x:v>0</x:v>
      </x:c>
      <x:c r="U9" s="80" t="n">
        <x:f>S9-T9</x:f>
        <x:v>0</x:v>
      </x:c>
      <x:c r="V9" s="78" t="n">
        <x:f>SUMIF(ACTUAL!$K$19:$K$118,"I",ACTUAL!$J$19:$J$118)</x:f>
        <x:v>0</x:v>
      </x:c>
      <x:c r="W9" s="78" t="n">
        <x:f>SUMIF(PROPUESTO!$K$19:$K$118,"I",PROPUESTO!$J$19:$J$118)</x:f>
        <x:v>0</x:v>
      </x:c>
      <x:c r="X9" s="243" t="str">
        <x:v>Revisar necesidad</x:v>
      </x:c>
    </x:row>
    <x:row r="10" ht="21" customHeight="1">
      <x:c r="A10" s="225" t="str">
        <x:v>El estudio termina en:</x:v>
      </x:c>
      <x:c r="B10" s="37"/>
      <x:c r="C10" s="37"/>
      <x:c r="D10" s="40" t="str"/>
      <x:c r="E10" s="40"/>
      <x:c r="F10" s="40"/>
      <x:c r="G10" s="40"/>
      <x:c r="H10" s="40"/>
      <x:c r="I10" s="40"/>
      <x:c r="J10" s="40"/>
      <x:c r="K10" s="226"/>
      <x:c r="L10" s="246" t="str">
        <x:v>D</x:v>
      </x:c>
      <x:c r="M10" s="55" t="str">
        <x:v>Espera</x:v>
      </x:c>
      <x:c r="N10" s="55"/>
      <x:c r="O10" s="55"/>
      <x:c r="P10" s="55"/>
      <x:c r="Q10" s="55"/>
      <x:c r="R10" s="55"/>
      <x:c r="S10" s="78" t="n">
        <x:f>COUNTIF(ACTUAL!$K$19:$K$118,"E")</x:f>
        <x:v>0</x:v>
      </x:c>
      <x:c r="T10" s="78" t="n">
        <x:f>COUNTIF(PROPUESTO!$K$19:$K$118,"E")</x:f>
        <x:v>0</x:v>
      </x:c>
      <x:c r="U10" s="80" t="n">
        <x:f>S10-T10</x:f>
        <x:v>0</x:v>
      </x:c>
      <x:c r="V10" s="78" t="n">
        <x:f>SUMIF(ACTUAL!$K$19:$K$118,"E",ACTUAL!$J$19:$J$118)</x:f>
        <x:v>0</x:v>
      </x:c>
      <x:c r="W10" s="78" t="n">
        <x:f>SUMIF(PROPUESTO!$K$19:$K$118,"E",PROPUESTO!$J$19:$J$118)</x:f>
        <x:v>0</x:v>
      </x:c>
      <x:c r="X10" s="243" t="str">
        <x:v>Menos es favorable</x:v>
      </x:c>
    </x:row>
    <x:row r="11" ht="21" customHeight="1">
      <x:c r="A11" s="225" t="str">
        <x:v>Lugar / área:</x:v>
      </x:c>
      <x:c r="B11" s="37"/>
      <x:c r="C11" s="37"/>
      <x:c r="D11" s="40" t="str"/>
      <x:c r="E11" s="40"/>
      <x:c r="F11" s="40"/>
      <x:c r="G11" s="40"/>
      <x:c r="H11" s="40"/>
      <x:c r="I11" s="40"/>
      <x:c r="J11" s="40"/>
      <x:c r="K11" s="226"/>
      <x:c r="L11" s="247" t="str">
        <x:v>▼</x:v>
      </x:c>
      <x:c r="M11" s="55" t="str">
        <x:v>Almacenamiento</x:v>
      </x:c>
      <x:c r="N11" s="55"/>
      <x:c r="O11" s="55"/>
      <x:c r="P11" s="55"/>
      <x:c r="Q11" s="55"/>
      <x:c r="R11" s="55"/>
      <x:c r="S11" s="78" t="n">
        <x:f>COUNTIF(ACTUAL!$K$19:$K$118,"A")</x:f>
        <x:v>0</x:v>
      </x:c>
      <x:c r="T11" s="78" t="n">
        <x:f>COUNTIF(PROPUESTO!$K$19:$K$118,"A")</x:f>
        <x:v>0</x:v>
      </x:c>
      <x:c r="U11" s="80" t="n">
        <x:f>S11-T11</x:f>
        <x:v>0</x:v>
      </x:c>
      <x:c r="V11" s="78" t="n">
        <x:f>SUMIF(ACTUAL!$K$19:$K$118,"A",ACTUAL!$J$19:$J$118)</x:f>
        <x:v>0</x:v>
      </x:c>
      <x:c r="W11" s="78" t="n">
        <x:f>SUMIF(PROPUESTO!$K$19:$K$118,"A",PROPUESTO!$J$19:$J$118)</x:f>
        <x:v>0</x:v>
      </x:c>
      <x:c r="X11" s="243" t="str">
        <x:v>Revisar necesidad</x:v>
      </x:c>
    </x:row>
    <x:row r="12" ht="23" customHeight="1">
      <x:c r="A12" s="225" t="str">
        <x:v>Operario / equipo:</x:v>
      </x:c>
      <x:c r="B12" s="37"/>
      <x:c r="C12" s="37"/>
      <x:c r="D12" s="40" t="str"/>
      <x:c r="E12" s="40"/>
      <x:c r="F12" s="40"/>
      <x:c r="G12" s="40"/>
      <x:c r="H12" s="40"/>
      <x:c r="I12" s="40"/>
      <x:c r="J12" s="40"/>
      <x:c r="K12" s="226"/>
      <x:c r="L12" s="248" t="str">
        <x:v>Total actividades</x:v>
      </x:c>
      <x:c r="M12" s="36"/>
      <x:c r="N12" s="36"/>
      <x:c r="O12" s="36"/>
      <x:c r="P12" s="36"/>
      <x:c r="Q12" s="36"/>
      <x:c r="R12" s="36"/>
      <x:c r="S12" s="78" t="n">
        <x:f>SUM(S7:S11)</x:f>
        <x:v>0</x:v>
      </x:c>
      <x:c r="T12" s="78" t="n">
        <x:f>SUM(T7:T11)</x:f>
        <x:v>0</x:v>
      </x:c>
      <x:c r="U12" s="80" t="n">
        <x:f>SUM(U7:U11)</x:f>
        <x:v>0</x:v>
      </x:c>
      <x:c r="V12" s="78" t="n">
        <x:f>SUM(V7:V11)</x:f>
        <x:v>0</x:v>
      </x:c>
      <x:c r="W12" s="78" t="n">
        <x:f>SUM(W7:W11)</x:f>
        <x:v>0</x:v>
      </x:c>
      <x:c r="X12" s="243" t="str">
        <x:v>Conteo de eventos</x:v>
      </x:c>
    </x:row>
    <x:row r="13" ht="23" customHeight="1">
      <x:c r="A13" s="225" t="str">
        <x:v>Elaborado por:</x:v>
      </x:c>
      <x:c r="B13" s="37"/>
      <x:c r="C13" s="37"/>
      <x:c r="D13" s="40" t="str"/>
      <x:c r="E13" s="40"/>
      <x:c r="F13" s="40"/>
      <x:c r="G13" s="40"/>
      <x:c r="H13" s="40"/>
      <x:c r="I13" s="40"/>
      <x:c r="J13" s="40"/>
      <x:c r="K13" s="226"/>
      <x:c r="L13" s="248" t="str">
        <x:v>Distancia total (m)</x:v>
      </x:c>
      <x:c r="M13" s="36"/>
      <x:c r="N13" s="36"/>
      <x:c r="O13" s="36"/>
      <x:c r="P13" s="36"/>
      <x:c r="Q13" s="36"/>
      <x:c r="R13" s="36"/>
      <x:c r="S13" s="78" t="n">
        <x:f>SUM(ACTUAL!I19:I118)</x:f>
        <x:v>0</x:v>
      </x:c>
      <x:c r="T13" s="78" t="n">
        <x:f>SUM(PROPUESTO!I19:I118)</x:f>
        <x:v>0</x:v>
      </x:c>
      <x:c r="U13" s="80" t="n">
        <x:f>S13-T13</x:f>
        <x:v>0</x:v>
      </x:c>
      <x:c r="V13" s="78"/>
      <x:c r="W13" s="78"/>
      <x:c r="X13" s="243" t="str">
        <x:v>Sólo distancias registradas</x:v>
      </x:c>
    </x:row>
    <x:row r="14" ht="23" customHeight="1">
      <x:c r="A14" s="225" t="str">
        <x:v>Tamaño del lote:</x:v>
      </x:c>
      <x:c r="B14" s="37"/>
      <x:c r="C14" s="37"/>
      <x:c r="D14" s="40" t="str"/>
      <x:c r="E14" s="40"/>
      <x:c r="F14" s="40"/>
      <x:c r="G14" s="40"/>
      <x:c r="H14" s="40"/>
      <x:c r="I14" s="40"/>
      <x:c r="J14" s="40"/>
      <x:c r="K14" s="226"/>
      <x:c r="L14" s="248" t="str">
        <x:v>Tiempo acumulado (min)</x:v>
      </x:c>
      <x:c r="M14" s="36"/>
      <x:c r="N14" s="36"/>
      <x:c r="O14" s="36"/>
      <x:c r="P14" s="36"/>
      <x:c r="Q14" s="36"/>
      <x:c r="R14" s="36"/>
      <x:c r="S14" s="78" t="n">
        <x:f>SUM(ACTUAL!J19:J118)</x:f>
        <x:v>0</x:v>
      </x:c>
      <x:c r="T14" s="78" t="n">
        <x:f>SUM(PROPUESTO!J19:J118)</x:f>
        <x:v>0</x:v>
      </x:c>
      <x:c r="U14" s="80" t="n">
        <x:f>S14-T14</x:f>
        <x:v>0</x:v>
      </x:c>
      <x:c r="V14" s="78"/>
      <x:c r="W14" s="78"/>
      <x:c r="X14" s="243" t="str">
        <x:v>Suma todas las actividades</x:v>
      </x:c>
    </x:row>
    <x:row r="15" ht="23" customHeight="1">
      <x:c r="A15" s="227" t="str">
        <x:v>Tipo de cursograma:</x:v>
      </x:c>
      <x:c r="B15" s="228"/>
      <x:c r="C15" s="228"/>
      <x:c r="D15" s="229" t="str"/>
      <x:c r="E15" s="229"/>
      <x:c r="F15" s="229"/>
      <x:c r="G15" s="229"/>
      <x:c r="H15" s="229"/>
      <x:c r="I15" s="229"/>
      <x:c r="J15" s="229"/>
      <x:c r="K15" s="230"/>
      <x:c r="L15" s="249" t="str">
        <x:v>Duración teórica (min)</x:v>
      </x:c>
      <x:c r="M15" s="250"/>
      <x:c r="N15" s="250"/>
      <x:c r="O15" s="250"/>
      <x:c r="P15" s="250"/>
      <x:c r="Q15" s="250"/>
      <x:c r="R15" s="250"/>
      <x:c r="S15" s="251" t="str">
        <x:f>IF(COUNTIF(ACTUAL!$X$19:$X$118,"OK")=0,"",IF(COUNTIF(ACTUAL!$X$19:$X$118,"FALTA*")+COUNTIF(ACTUAL!$X$19:$X$118,"REVISAR*")+COUNTIF(ACTUAL!$X$19:$X$118,"ID REPETIDO")&gt;0,"REVISAR",MAX(ACTUAL!$V$19:$V$118)))</x:f>
      </x:c>
      <x:c r="T15" s="251" t="str">
        <x:f>IF(COUNTIF(PROPUESTO!$X$19:$X$118,"OK")=0,"",IF(COUNTIF(PROPUESTO!$X$19:$X$118,"FALTA*")+COUNTIF(PROPUESTO!$X$19:$X$118,"REVISAR*")+COUNTIF(PROPUESTO!$X$19:$X$118,"ID REPETIDO")&gt;0,"REVISAR",MAX(PROPUESTO!$V$19:$V$118)))</x:f>
      </x:c>
      <x:c r="U15" s="252" t="str">
        <x:f>IF(AND(ISNUMBER(S15),ISNUMBER(T15)),S15-T15,"")</x:f>
      </x:c>
      <x:c r="V15" s="251"/>
      <x:c r="W15" s="251"/>
      <x:c r="X15" s="253" t="str">
        <x:v>Sólo con precedencias válidas</x:v>
      </x:c>
    </x:row>
    <x:row r="16" ht="21" customHeight="1">
      <x:c r="A16" s="82" t="str">
        <x:v>IMPORTANTE: Las ramas paralelas empiezan sin antecesora; cada actividad posterior indica su(s) predecesora(s). Ordene las filas desde el inicio hasta el fin del proceso.</x:v>
      </x:c>
      <x:c r="B16" s="82"/>
      <x:c r="C16" s="82"/>
      <x:c r="D16" s="82"/>
      <x:c r="E16" s="82"/>
      <x:c r="F16" s="82"/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  <x:c r="S16" s="82"/>
      <x:c r="T16" s="82"/>
      <x:c r="U16" s="82"/>
      <x:c r="V16" s="82"/>
      <x:c r="W16" s="82"/>
      <x:c r="X16" s="82"/>
    </x:row>
    <x:row r="17" ht="26" customHeight="1">
      <x:c r="A17" s="314" t="str">
        <x:v>N.º</x:v>
      </x:c>
      <x:c r="B17" s="315" t="str">
        <x:v>ID</x:v>
      </x:c>
      <x:c r="C17" s="315" t="str">
        <x:v>RAMA</x:v>
      </x:c>
      <x:c r="D17" s="315" t="str">
        <x:v>OBJETO / COMPONENTE</x:v>
      </x:c>
      <x:c r="E17" s="315" t="str">
        <x:v>DESCRIPCIÓN DEL PROCESO</x:v>
      </x:c>
      <x:c r="F17" s="315" t="str">
        <x:v>CANT.</x:v>
      </x:c>
      <x:c r="G17" s="315" t="str">
        <x:v>ORIGEN</x:v>
      </x:c>
      <x:c r="H17" s="315" t="str">
        <x:v>DESTINO</x:v>
      </x:c>
      <x:c r="I17" s="315" t="str">
        <x:v>DIST.
METROS</x:v>
      </x:c>
      <x:c r="J17" s="315" t="str">
        <x:v>TIEMPO
MINUTOS</x:v>
      </x:c>
      <x:c r="K17" s="315" t="str">
        <x:v>TIPO</x:v>
      </x:c>
      <x:c r="L17" s="315" t="str">
        <x:v>SÍMBOLOS DEL PROCESO</x:v>
      </x:c>
      <x:c r="M17" s="315"/>
      <x:c r="N17" s="315"/>
      <x:c r="O17" s="315"/>
      <x:c r="P17" s="315"/>
      <x:c r="Q17" s="315" t="str">
        <x:v>PREDECESORAS (ID)</x:v>
      </x:c>
      <x:c r="R17" s="315"/>
      <x:c r="S17" s="315"/>
      <x:c r="T17" s="315"/>
      <x:c r="U17" s="315" t="str">
        <x:v>TIEMPO TEÓRICO</x:v>
      </x:c>
      <x:c r="V17" s="315"/>
      <x:c r="W17" s="315" t="str">
        <x:v>OBSERVACIONES</x:v>
      </x:c>
      <x:c r="X17" s="316" t="str">
        <x:v>CONTROL</x:v>
      </x:c>
    </x:row>
    <x:row r="18" ht="26" customHeight="1">
      <x:c r="A18" s="317"/>
      <x:c r="B18" s="318"/>
      <x:c r="C18" s="318"/>
      <x:c r="D18" s="318"/>
      <x:c r="E18" s="318"/>
      <x:c r="F18" s="318"/>
      <x:c r="G18" s="318"/>
      <x:c r="H18" s="318"/>
      <x:c r="I18" s="318"/>
      <x:c r="J18" s="318"/>
      <x:c r="K18" s="318"/>
      <x:c r="L18" s="319" t="str">
        <x:v>●</x:v>
      </x:c>
      <x:c r="M18" s="320" t="str">
        <x:v>➜</x:v>
      </x:c>
      <x:c r="N18" s="321" t="str">
        <x:v>■</x:v>
      </x:c>
      <x:c r="O18" s="322" t="str">
        <x:v>D</x:v>
      </x:c>
      <x:c r="P18" s="323" t="str">
        <x:v>▼</x:v>
      </x:c>
      <x:c r="Q18" s="324" t="str">
        <x:v>ANT. 1</x:v>
      </x:c>
      <x:c r="R18" s="324" t="str">
        <x:v>ANT. 2</x:v>
      </x:c>
      <x:c r="S18" s="324" t="str">
        <x:v>ANT. 3</x:v>
      </x:c>
      <x:c r="T18" s="324" t="str">
        <x:v>ANT. 4</x:v>
      </x:c>
      <x:c r="U18" s="324" t="str">
        <x:v>INICIO</x:v>
      </x:c>
      <x:c r="V18" s="324" t="str">
        <x:v>FIN</x:v>
      </x:c>
      <x:c r="W18" s="318"/>
      <x:c r="X18" s="325"/>
    </x:row>
    <x:row r="19" ht="24" customHeight="1">
      <x:c r="A19" s="326" t="str">
        <x:f>IF($E19="","",COUNTA($E$19:E19))</x:f>
      </x:c>
      <x:c r="B19" s="327"/>
      <x:c r="C19" s="327"/>
      <x:c r="D19" s="327"/>
      <x:c r="E19" s="328"/>
      <x:c r="F19" s="328"/>
      <x:c r="G19" s="328"/>
      <x:c r="H19" s="328"/>
      <x:c r="I19" s="329"/>
      <x:c r="J19" s="329"/>
      <x:c r="K19" s="327"/>
      <x:c r="L19" s="330" t="str">
        <x:f>IF($K19="O", "●", "")</x:f>
      </x:c>
      <x:c r="M19" s="331" t="str">
        <x:f>IF($K19="T", "➜", "")</x:f>
      </x:c>
      <x:c r="N19" s="332" t="str">
        <x:f>IF($K19="I", "■", "")</x:f>
      </x:c>
      <x:c r="O19" s="333" t="str">
        <x:f>IF($K19="E", "D", "")</x:f>
      </x:c>
      <x:c r="P19" s="334" t="str">
        <x:f>IF($K19="A", "▼", "")</x:f>
      </x:c>
      <x:c r="Q19" s="335"/>
      <x:c r="R19" s="335"/>
      <x:c r="S19" s="335"/>
      <x:c r="T19" s="335"/>
      <x:c r="U19" s="336" t="str">
        <x:f>IF(OR($B19="",$E19="",$K19="",AND($K19&lt;&gt;"A",$J19="")),"",IF(COUNTA($Q19:$T19)&gt;0,"REVISAR",0))</x:f>
      </x:c>
      <x:c r="V19" s="336" t="str">
        <x:f>IF(ISNUMBER($U19),$U19+IF($J19="",0,$J19),"")</x:f>
      </x:c>
      <x:c r="W19" s="337"/>
      <x:c r="X19" s="338" t="str">
        <x:f>IF(COUNTA($B19:$K19)+COUNTA($Q19:$T19)+COUNTA($W19)=0,"",IF($B19="","FALTA ID",IF(COUNTIF($B$19:$B$118,$B19)&gt;1,"ID REPETIDO",IF($E19="","FALTA DESCRIPCIÓN",IF($K19="","FALTA TIPO",IF(AND($K19&lt;&gt;"A",$J19=""),"FALTA TIEMPO",IF(AND($K19="T",OR($G19="",$H19="",$I19="")),"REVISAR TRANSPORTE",IF($U19="REVISAR","REVISAR PRECEDENCIA","OK"))))))))</x:f>
      </x:c>
    </x:row>
    <x:row r="20" ht="24" customHeight="1">
      <x:c r="A20" s="326" t="str">
        <x:f>IF($E20="","",COUNTA($E$19:E20))</x:f>
      </x:c>
      <x:c r="B20" s="327"/>
      <x:c r="C20" s="327"/>
      <x:c r="D20" s="327"/>
      <x:c r="E20" s="328"/>
      <x:c r="F20" s="328"/>
      <x:c r="G20" s="328"/>
      <x:c r="H20" s="328"/>
      <x:c r="I20" s="329"/>
      <x:c r="J20" s="329"/>
      <x:c r="K20" s="327"/>
      <x:c r="L20" s="330" t="str">
        <x:f>IF($K20="O", "●", "")</x:f>
      </x:c>
      <x:c r="M20" s="331" t="str">
        <x:f>IF($K20="T", "➜", "")</x:f>
      </x:c>
      <x:c r="N20" s="332" t="str">
        <x:f>IF($K20="I", "■", "")</x:f>
      </x:c>
      <x:c r="O20" s="333" t="str">
        <x:f>IF($K20="E", "D", "")</x:f>
      </x:c>
      <x:c r="P20" s="334" t="str">
        <x:f>IF($K20="A", "▼", "")</x:f>
      </x:c>
      <x:c r="Q20" s="335"/>
      <x:c r="R20" s="335"/>
      <x:c r="S20" s="335"/>
      <x:c r="T20" s="335"/>
      <x:c r="U20" s="336" t="str">
        <x:f>IF(OR($B20="",$E20="",$K20="",AND($K20&lt;&gt;"A",$J20="")),"",IF(OR(AND($Q20&lt;&gt;"",COUNTIF($B$19:$B19,$Q20)=0),AND($R20&lt;&gt;"",COUNTIF($B$19:$B19,$R20)=0),AND($S20&lt;&gt;"",COUNTIF($B$19:$B19,$S20)=0),AND($T20&lt;&gt;"",COUNTIF($B$19:$B19,$T20)=0)),"REVISAR",MAX(IFERROR(INDEX($V$19:$V19,MATCH($Q20,$B$19:$B19,0)),0),IFERROR(INDEX($V$19:$V19,MATCH($R20,$B$19:$B19,0)),0),IFERROR(INDEX($V$19:$V19,MATCH($S20,$B$19:$B19,0)),0),IFERROR(INDEX($V$19:$V19,MATCH($T20,$B$19:$B19,0)),0))))</x:f>
      </x:c>
      <x:c r="V20" s="336" t="str">
        <x:f>IF(ISNUMBER($U20),$U20+IF($J20="",0,$J20),"")</x:f>
      </x:c>
      <x:c r="W20" s="337"/>
      <x:c r="X20" s="338" t="str">
        <x:f>IF(COUNTA($B20:$K20)+COUNTA($Q20:$T20)+COUNTA($W20)=0,"",IF($B20="","FALTA ID",IF(COUNTIF($B$19:$B$118,$B20)&gt;1,"ID REPETIDO",IF($E20="","FALTA DESCRIPCIÓN",IF($K20="","FALTA TIPO",IF(AND($K20&lt;&gt;"A",$J20=""),"FALTA TIEMPO",IF(AND($K20="T",OR($G20="",$H20="",$I20="")),"REVISAR TRANSPORTE",IF($U20="REVISAR","REVISAR PRECEDENCIA","OK"))))))))</x:f>
      </x:c>
    </x:row>
    <x:row r="21" ht="24" customHeight="1">
      <x:c r="A21" s="326" t="str">
        <x:f>IF($E21="","",COUNTA($E$19:E21))</x:f>
      </x:c>
      <x:c r="B21" s="327"/>
      <x:c r="C21" s="327"/>
      <x:c r="D21" s="327"/>
      <x:c r="E21" s="328"/>
      <x:c r="F21" s="328"/>
      <x:c r="G21" s="328"/>
      <x:c r="H21" s="328"/>
      <x:c r="I21" s="329"/>
      <x:c r="J21" s="329"/>
      <x:c r="K21" s="327"/>
      <x:c r="L21" s="330" t="str">
        <x:f>IF($K21="O", "●", "")</x:f>
      </x:c>
      <x:c r="M21" s="331" t="str">
        <x:f>IF($K21="T", "➜", "")</x:f>
      </x:c>
      <x:c r="N21" s="332" t="str">
        <x:f>IF($K21="I", "■", "")</x:f>
      </x:c>
      <x:c r="O21" s="333" t="str">
        <x:f>IF($K21="E", "D", "")</x:f>
      </x:c>
      <x:c r="P21" s="334" t="str">
        <x:f>IF($K21="A", "▼", "")</x:f>
      </x:c>
      <x:c r="Q21" s="335"/>
      <x:c r="R21" s="335"/>
      <x:c r="S21" s="335"/>
      <x:c r="T21" s="335"/>
      <x:c r="U21" s="336" t="str">
        <x:f>IF(OR($B21="",$E21="",$K21="",AND($K21&lt;&gt;"A",$J21="")),"",IF(OR(AND($Q21&lt;&gt;"",COUNTIF($B$19:$B20,$Q21)=0),AND($R21&lt;&gt;"",COUNTIF($B$19:$B20,$R21)=0),AND($S21&lt;&gt;"",COUNTIF($B$19:$B20,$S21)=0),AND($T21&lt;&gt;"",COUNTIF($B$19:$B20,$T21)=0)),"REVISAR",MAX(IFERROR(INDEX($V$19:$V20,MATCH($Q21,$B$19:$B20,0)),0),IFERROR(INDEX($V$19:$V20,MATCH($R21,$B$19:$B20,0)),0),IFERROR(INDEX($V$19:$V20,MATCH($S21,$B$19:$B20,0)),0),IFERROR(INDEX($V$19:$V20,MATCH($T21,$B$19:$B20,0)),0))))</x:f>
      </x:c>
      <x:c r="V21" s="336" t="str">
        <x:f>IF(ISNUMBER($U21),$U21+IF($J21="",0,$J21),"")</x:f>
      </x:c>
      <x:c r="W21" s="337"/>
      <x:c r="X21" s="338" t="str">
        <x:f>IF(COUNTA($B21:$K21)+COUNTA($Q21:$T21)+COUNTA($W21)=0,"",IF($B21="","FALTA ID",IF(COUNTIF($B$19:$B$118,$B21)&gt;1,"ID REPETIDO",IF($E21="","FALTA DESCRIPCIÓN",IF($K21="","FALTA TIPO",IF(AND($K21&lt;&gt;"A",$J21=""),"FALTA TIEMPO",IF(AND($K21="T",OR($G21="",$H21="",$I21="")),"REVISAR TRANSPORTE",IF($U21="REVISAR","REVISAR PRECEDENCIA","OK"))))))))</x:f>
      </x:c>
    </x:row>
    <x:row r="22" ht="24" customHeight="1">
      <x:c r="A22" s="326" t="str">
        <x:f>IF($E22="","",COUNTA($E$19:E22))</x:f>
      </x:c>
      <x:c r="B22" s="327"/>
      <x:c r="C22" s="327"/>
      <x:c r="D22" s="327"/>
      <x:c r="E22" s="328"/>
      <x:c r="F22" s="328"/>
      <x:c r="G22" s="328"/>
      <x:c r="H22" s="328"/>
      <x:c r="I22" s="329"/>
      <x:c r="J22" s="329"/>
      <x:c r="K22" s="327"/>
      <x:c r="L22" s="330" t="str">
        <x:f>IF($K22="O", "●", "")</x:f>
      </x:c>
      <x:c r="M22" s="331" t="str">
        <x:f>IF($K22="T", "➜", "")</x:f>
      </x:c>
      <x:c r="N22" s="332" t="str">
        <x:f>IF($K22="I", "■", "")</x:f>
      </x:c>
      <x:c r="O22" s="333" t="str">
        <x:f>IF($K22="E", "D", "")</x:f>
      </x:c>
      <x:c r="P22" s="334" t="str">
        <x:f>IF($K22="A", "▼", "")</x:f>
      </x:c>
      <x:c r="Q22" s="335"/>
      <x:c r="R22" s="335"/>
      <x:c r="S22" s="335"/>
      <x:c r="T22" s="335"/>
      <x:c r="U22" s="336" t="str">
        <x:f>IF(OR($B22="",$E22="",$K22="",AND($K22&lt;&gt;"A",$J22="")),"",IF(OR(AND($Q22&lt;&gt;"",COUNTIF($B$19:$B21,$Q22)=0),AND($R22&lt;&gt;"",COUNTIF($B$19:$B21,$R22)=0),AND($S22&lt;&gt;"",COUNTIF($B$19:$B21,$S22)=0),AND($T22&lt;&gt;"",COUNTIF($B$19:$B21,$T22)=0)),"REVISAR",MAX(IFERROR(INDEX($V$19:$V21,MATCH($Q22,$B$19:$B21,0)),0),IFERROR(INDEX($V$19:$V21,MATCH($R22,$B$19:$B21,0)),0),IFERROR(INDEX($V$19:$V21,MATCH($S22,$B$19:$B21,0)),0),IFERROR(INDEX($V$19:$V21,MATCH($T22,$B$19:$B21,0)),0))))</x:f>
      </x:c>
      <x:c r="V22" s="336" t="str">
        <x:f>IF(ISNUMBER($U22),$U22+IF($J22="",0,$J22),"")</x:f>
      </x:c>
      <x:c r="W22" s="337"/>
      <x:c r="X22" s="338" t="str">
        <x:f>IF(COUNTA($B22:$K22)+COUNTA($Q22:$T22)+COUNTA($W22)=0,"",IF($B22="","FALTA ID",IF(COUNTIF($B$19:$B$118,$B22)&gt;1,"ID REPETIDO",IF($E22="","FALTA DESCRIPCIÓN",IF($K22="","FALTA TIPO",IF(AND($K22&lt;&gt;"A",$J22=""),"FALTA TIEMPO",IF(AND($K22="T",OR($G22="",$H22="",$I22="")),"REVISAR TRANSPORTE",IF($U22="REVISAR","REVISAR PRECEDENCIA","OK"))))))))</x:f>
      </x:c>
    </x:row>
    <x:row r="23" ht="24" customHeight="1">
      <x:c r="A23" s="326" t="str">
        <x:f>IF($E23="","",COUNTA($E$19:E23))</x:f>
      </x:c>
      <x:c r="B23" s="327"/>
      <x:c r="C23" s="327"/>
      <x:c r="D23" s="327"/>
      <x:c r="E23" s="328"/>
      <x:c r="F23" s="328"/>
      <x:c r="G23" s="328"/>
      <x:c r="H23" s="328"/>
      <x:c r="I23" s="329"/>
      <x:c r="J23" s="329"/>
      <x:c r="K23" s="327"/>
      <x:c r="L23" s="330" t="str">
        <x:f>IF($K23="O", "●", "")</x:f>
      </x:c>
      <x:c r="M23" s="331" t="str">
        <x:f>IF($K23="T", "➜", "")</x:f>
      </x:c>
      <x:c r="N23" s="332" t="str">
        <x:f>IF($K23="I", "■", "")</x:f>
      </x:c>
      <x:c r="O23" s="333" t="str">
        <x:f>IF($K23="E", "D", "")</x:f>
      </x:c>
      <x:c r="P23" s="334" t="str">
        <x:f>IF($K23="A", "▼", "")</x:f>
      </x:c>
      <x:c r="Q23" s="335"/>
      <x:c r="R23" s="335"/>
      <x:c r="S23" s="335"/>
      <x:c r="T23" s="335"/>
      <x:c r="U23" s="336" t="str">
        <x:f>IF(OR($B23="",$E23="",$K23="",AND($K23&lt;&gt;"A",$J23="")),"",IF(OR(AND($Q23&lt;&gt;"",COUNTIF($B$19:$B22,$Q23)=0),AND($R23&lt;&gt;"",COUNTIF($B$19:$B22,$R23)=0),AND($S23&lt;&gt;"",COUNTIF($B$19:$B22,$S23)=0),AND($T23&lt;&gt;"",COUNTIF($B$19:$B22,$T23)=0)),"REVISAR",MAX(IFERROR(INDEX($V$19:$V22,MATCH($Q23,$B$19:$B22,0)),0),IFERROR(INDEX($V$19:$V22,MATCH($R23,$B$19:$B22,0)),0),IFERROR(INDEX($V$19:$V22,MATCH($S23,$B$19:$B22,0)),0),IFERROR(INDEX($V$19:$V22,MATCH($T23,$B$19:$B22,0)),0))))</x:f>
      </x:c>
      <x:c r="V23" s="336" t="str">
        <x:f>IF(ISNUMBER($U23),$U23+IF($J23="",0,$J23),"")</x:f>
      </x:c>
      <x:c r="W23" s="337"/>
      <x:c r="X23" s="338" t="str">
        <x:f>IF(COUNTA($B23:$K23)+COUNTA($Q23:$T23)+COUNTA($W23)=0,"",IF($B23="","FALTA ID",IF(COUNTIF($B$19:$B$118,$B23)&gt;1,"ID REPETIDO",IF($E23="","FALTA DESCRIPCIÓN",IF($K23="","FALTA TIPO",IF(AND($K23&lt;&gt;"A",$J23=""),"FALTA TIEMPO",IF(AND($K23="T",OR($G23="",$H23="",$I23="")),"REVISAR TRANSPORTE",IF($U23="REVISAR","REVISAR PRECEDENCIA","OK"))))))))</x:f>
      </x:c>
    </x:row>
    <x:row r="24" ht="24" customHeight="1">
      <x:c r="A24" s="326" t="str">
        <x:f>IF($E24="","",COUNTA($E$19:E24))</x:f>
      </x:c>
      <x:c r="B24" s="327"/>
      <x:c r="C24" s="327"/>
      <x:c r="D24" s="327"/>
      <x:c r="E24" s="328"/>
      <x:c r="F24" s="328"/>
      <x:c r="G24" s="328"/>
      <x:c r="H24" s="328"/>
      <x:c r="I24" s="329"/>
      <x:c r="J24" s="329"/>
      <x:c r="K24" s="327"/>
      <x:c r="L24" s="330" t="str">
        <x:f>IF($K24="O", "●", "")</x:f>
      </x:c>
      <x:c r="M24" s="331" t="str">
        <x:f>IF($K24="T", "➜", "")</x:f>
      </x:c>
      <x:c r="N24" s="332" t="str">
        <x:f>IF($K24="I", "■", "")</x:f>
      </x:c>
      <x:c r="O24" s="333" t="str">
        <x:f>IF($K24="E", "D", "")</x:f>
      </x:c>
      <x:c r="P24" s="334" t="str">
        <x:f>IF($K24="A", "▼", "")</x:f>
      </x:c>
      <x:c r="Q24" s="335"/>
      <x:c r="R24" s="335"/>
      <x:c r="S24" s="335"/>
      <x:c r="T24" s="335"/>
      <x:c r="U24" s="336" t="str">
        <x:f>IF(OR($B24="",$E24="",$K24="",AND($K24&lt;&gt;"A",$J24="")),"",IF(OR(AND($Q24&lt;&gt;"",COUNTIF($B$19:$B23,$Q24)=0),AND($R24&lt;&gt;"",COUNTIF($B$19:$B23,$R24)=0),AND($S24&lt;&gt;"",COUNTIF($B$19:$B23,$S24)=0),AND($T24&lt;&gt;"",COUNTIF($B$19:$B23,$T24)=0)),"REVISAR",MAX(IFERROR(INDEX($V$19:$V23,MATCH($Q24,$B$19:$B23,0)),0),IFERROR(INDEX($V$19:$V23,MATCH($R24,$B$19:$B23,0)),0),IFERROR(INDEX($V$19:$V23,MATCH($S24,$B$19:$B23,0)),0),IFERROR(INDEX($V$19:$V23,MATCH($T24,$B$19:$B23,0)),0))))</x:f>
      </x:c>
      <x:c r="V24" s="336" t="str">
        <x:f>IF(ISNUMBER($U24),$U24+IF($J24="",0,$J24),"")</x:f>
      </x:c>
      <x:c r="W24" s="337"/>
      <x:c r="X24" s="338" t="str">
        <x:f>IF(COUNTA($B24:$K24)+COUNTA($Q24:$T24)+COUNTA($W24)=0,"",IF($B24="","FALTA ID",IF(COUNTIF($B$19:$B$118,$B24)&gt;1,"ID REPETIDO",IF($E24="","FALTA DESCRIPCIÓN",IF($K24="","FALTA TIPO",IF(AND($K24&lt;&gt;"A",$J24=""),"FALTA TIEMPO",IF(AND($K24="T",OR($G24="",$H24="",$I24="")),"REVISAR TRANSPORTE",IF($U24="REVISAR","REVISAR PRECEDENCIA","OK"))))))))</x:f>
      </x:c>
    </x:row>
    <x:row r="25" ht="24" customHeight="1">
      <x:c r="A25" s="326" t="str">
        <x:f>IF($E25="","",COUNTA($E$19:E25))</x:f>
      </x:c>
      <x:c r="B25" s="327"/>
      <x:c r="C25" s="327"/>
      <x:c r="D25" s="327"/>
      <x:c r="E25" s="328"/>
      <x:c r="F25" s="328"/>
      <x:c r="G25" s="328"/>
      <x:c r="H25" s="328"/>
      <x:c r="I25" s="329"/>
      <x:c r="J25" s="329"/>
      <x:c r="K25" s="327"/>
      <x:c r="L25" s="330" t="str">
        <x:f>IF($K25="O", "●", "")</x:f>
      </x:c>
      <x:c r="M25" s="331" t="str">
        <x:f>IF($K25="T", "➜", "")</x:f>
      </x:c>
      <x:c r="N25" s="332" t="str">
        <x:f>IF($K25="I", "■", "")</x:f>
      </x:c>
      <x:c r="O25" s="333" t="str">
        <x:f>IF($K25="E", "D", "")</x:f>
      </x:c>
      <x:c r="P25" s="334" t="str">
        <x:f>IF($K25="A", "▼", "")</x:f>
      </x:c>
      <x:c r="Q25" s="335"/>
      <x:c r="R25" s="335"/>
      <x:c r="S25" s="335"/>
      <x:c r="T25" s="335"/>
      <x:c r="U25" s="336" t="str">
        <x:f>IF(OR($B25="",$E25="",$K25="",AND($K25&lt;&gt;"A",$J25="")),"",IF(OR(AND($Q25&lt;&gt;"",COUNTIF($B$19:$B24,$Q25)=0),AND($R25&lt;&gt;"",COUNTIF($B$19:$B24,$R25)=0),AND($S25&lt;&gt;"",COUNTIF($B$19:$B24,$S25)=0),AND($T25&lt;&gt;"",COUNTIF($B$19:$B24,$T25)=0)),"REVISAR",MAX(IFERROR(INDEX($V$19:$V24,MATCH($Q25,$B$19:$B24,0)),0),IFERROR(INDEX($V$19:$V24,MATCH($R25,$B$19:$B24,0)),0),IFERROR(INDEX($V$19:$V24,MATCH($S25,$B$19:$B24,0)),0),IFERROR(INDEX($V$19:$V24,MATCH($T25,$B$19:$B24,0)),0))))</x:f>
      </x:c>
      <x:c r="V25" s="336" t="str">
        <x:f>IF(ISNUMBER($U25),$U25+IF($J25="",0,$J25),"")</x:f>
      </x:c>
      <x:c r="W25" s="337"/>
      <x:c r="X25" s="338" t="str">
        <x:f>IF(COUNTA($B25:$K25)+COUNTA($Q25:$T25)+COUNTA($W25)=0,"",IF($B25="","FALTA ID",IF(COUNTIF($B$19:$B$118,$B25)&gt;1,"ID REPETIDO",IF($E25="","FALTA DESCRIPCIÓN",IF($K25="","FALTA TIPO",IF(AND($K25&lt;&gt;"A",$J25=""),"FALTA TIEMPO",IF(AND($K25="T",OR($G25="",$H25="",$I25="")),"REVISAR TRANSPORTE",IF($U25="REVISAR","REVISAR PRECEDENCIA","OK"))))))))</x:f>
      </x:c>
    </x:row>
    <x:row r="26" ht="24" customHeight="1">
      <x:c r="A26" s="326" t="str">
        <x:f>IF($E26="","",COUNTA($E$19:E26))</x:f>
      </x:c>
      <x:c r="B26" s="327"/>
      <x:c r="C26" s="327"/>
      <x:c r="D26" s="327"/>
      <x:c r="E26" s="328"/>
      <x:c r="F26" s="328"/>
      <x:c r="G26" s="328"/>
      <x:c r="H26" s="328"/>
      <x:c r="I26" s="329"/>
      <x:c r="J26" s="329"/>
      <x:c r="K26" s="327"/>
      <x:c r="L26" s="330" t="str">
        <x:f>IF($K26="O", "●", "")</x:f>
      </x:c>
      <x:c r="M26" s="331" t="str">
        <x:f>IF($K26="T", "➜", "")</x:f>
      </x:c>
      <x:c r="N26" s="332" t="str">
        <x:f>IF($K26="I", "■", "")</x:f>
      </x:c>
      <x:c r="O26" s="333" t="str">
        <x:f>IF($K26="E", "D", "")</x:f>
      </x:c>
      <x:c r="P26" s="334" t="str">
        <x:f>IF($K26="A", "▼", "")</x:f>
      </x:c>
      <x:c r="Q26" s="335"/>
      <x:c r="R26" s="335"/>
      <x:c r="S26" s="335"/>
      <x:c r="T26" s="335"/>
      <x:c r="U26" s="336" t="str">
        <x:f>IF(OR($B26="",$E26="",$K26="",AND($K26&lt;&gt;"A",$J26="")),"",IF(OR(AND($Q26&lt;&gt;"",COUNTIF($B$19:$B25,$Q26)=0),AND($R26&lt;&gt;"",COUNTIF($B$19:$B25,$R26)=0),AND($S26&lt;&gt;"",COUNTIF($B$19:$B25,$S26)=0),AND($T26&lt;&gt;"",COUNTIF($B$19:$B25,$T26)=0)),"REVISAR",MAX(IFERROR(INDEX($V$19:$V25,MATCH($Q26,$B$19:$B25,0)),0),IFERROR(INDEX($V$19:$V25,MATCH($R26,$B$19:$B25,0)),0),IFERROR(INDEX($V$19:$V25,MATCH($S26,$B$19:$B25,0)),0),IFERROR(INDEX($V$19:$V25,MATCH($T26,$B$19:$B25,0)),0))))</x:f>
      </x:c>
      <x:c r="V26" s="336" t="str">
        <x:f>IF(ISNUMBER($U26),$U26+IF($J26="",0,$J26),"")</x:f>
      </x:c>
      <x:c r="W26" s="337"/>
      <x:c r="X26" s="338" t="str">
        <x:f>IF(COUNTA($B26:$K26)+COUNTA($Q26:$T26)+COUNTA($W26)=0,"",IF($B26="","FALTA ID",IF(COUNTIF($B$19:$B$118,$B26)&gt;1,"ID REPETIDO",IF($E26="","FALTA DESCRIPCIÓN",IF($K26="","FALTA TIPO",IF(AND($K26&lt;&gt;"A",$J26=""),"FALTA TIEMPO",IF(AND($K26="T",OR($G26="",$H26="",$I26="")),"REVISAR TRANSPORTE",IF($U26="REVISAR","REVISAR PRECEDENCIA","OK"))))))))</x:f>
      </x:c>
    </x:row>
    <x:row r="27" ht="24" customHeight="1">
      <x:c r="A27" s="326" t="str">
        <x:f>IF($E27="","",COUNTA($E$19:E27))</x:f>
      </x:c>
      <x:c r="B27" s="327"/>
      <x:c r="C27" s="327"/>
      <x:c r="D27" s="327"/>
      <x:c r="E27" s="328"/>
      <x:c r="F27" s="328"/>
      <x:c r="G27" s="328"/>
      <x:c r="H27" s="328"/>
      <x:c r="I27" s="329"/>
      <x:c r="J27" s="329"/>
      <x:c r="K27" s="327"/>
      <x:c r="L27" s="330" t="str">
        <x:f>IF($K27="O", "●", "")</x:f>
      </x:c>
      <x:c r="M27" s="331" t="str">
        <x:f>IF($K27="T", "➜", "")</x:f>
      </x:c>
      <x:c r="N27" s="332" t="str">
        <x:f>IF($K27="I", "■", "")</x:f>
      </x:c>
      <x:c r="O27" s="333" t="str">
        <x:f>IF($K27="E", "D", "")</x:f>
      </x:c>
      <x:c r="P27" s="334" t="str">
        <x:f>IF($K27="A", "▼", "")</x:f>
      </x:c>
      <x:c r="Q27" s="335"/>
      <x:c r="R27" s="335"/>
      <x:c r="S27" s="335"/>
      <x:c r="T27" s="335"/>
      <x:c r="U27" s="336" t="str">
        <x:f>IF(OR($B27="",$E27="",$K27="",AND($K27&lt;&gt;"A",$J27="")),"",IF(OR(AND($Q27&lt;&gt;"",COUNTIF($B$19:$B26,$Q27)=0),AND($R27&lt;&gt;"",COUNTIF($B$19:$B26,$R27)=0),AND($S27&lt;&gt;"",COUNTIF($B$19:$B26,$S27)=0),AND($T27&lt;&gt;"",COUNTIF($B$19:$B26,$T27)=0)),"REVISAR",MAX(IFERROR(INDEX($V$19:$V26,MATCH($Q27,$B$19:$B26,0)),0),IFERROR(INDEX($V$19:$V26,MATCH($R27,$B$19:$B26,0)),0),IFERROR(INDEX($V$19:$V26,MATCH($S27,$B$19:$B26,0)),0),IFERROR(INDEX($V$19:$V26,MATCH($T27,$B$19:$B26,0)),0))))</x:f>
      </x:c>
      <x:c r="V27" s="336" t="str">
        <x:f>IF(ISNUMBER($U27),$U27+IF($J27="",0,$J27),"")</x:f>
      </x:c>
      <x:c r="W27" s="337"/>
      <x:c r="X27" s="338" t="str">
        <x:f>IF(COUNTA($B27:$K27)+COUNTA($Q27:$T27)+COUNTA($W27)=0,"",IF($B27="","FALTA ID",IF(COUNTIF($B$19:$B$118,$B27)&gt;1,"ID REPETIDO",IF($E27="","FALTA DESCRIPCIÓN",IF($K27="","FALTA TIPO",IF(AND($K27&lt;&gt;"A",$J27=""),"FALTA TIEMPO",IF(AND($K27="T",OR($G27="",$H27="",$I27="")),"REVISAR TRANSPORTE",IF($U27="REVISAR","REVISAR PRECEDENCIA","OK"))))))))</x:f>
      </x:c>
    </x:row>
    <x:row r="28" ht="24" customHeight="1">
      <x:c r="A28" s="326" t="str">
        <x:f>IF($E28="","",COUNTA($E$19:E28))</x:f>
      </x:c>
      <x:c r="B28" s="327"/>
      <x:c r="C28" s="327"/>
      <x:c r="D28" s="327"/>
      <x:c r="E28" s="328"/>
      <x:c r="F28" s="328"/>
      <x:c r="G28" s="328"/>
      <x:c r="H28" s="328"/>
      <x:c r="I28" s="329"/>
      <x:c r="J28" s="329"/>
      <x:c r="K28" s="327"/>
      <x:c r="L28" s="330" t="str">
        <x:f>IF($K28="O", "●", "")</x:f>
      </x:c>
      <x:c r="M28" s="331" t="str">
        <x:f>IF($K28="T", "➜", "")</x:f>
      </x:c>
      <x:c r="N28" s="332" t="str">
        <x:f>IF($K28="I", "■", "")</x:f>
      </x:c>
      <x:c r="O28" s="333" t="str">
        <x:f>IF($K28="E", "D", "")</x:f>
      </x:c>
      <x:c r="P28" s="334" t="str">
        <x:f>IF($K28="A", "▼", "")</x:f>
      </x:c>
      <x:c r="Q28" s="335"/>
      <x:c r="R28" s="335"/>
      <x:c r="S28" s="335"/>
      <x:c r="T28" s="335"/>
      <x:c r="U28" s="336" t="str">
        <x:f>IF(OR($B28="",$E28="",$K28="",AND($K28&lt;&gt;"A",$J28="")),"",IF(OR(AND($Q28&lt;&gt;"",COUNTIF($B$19:$B27,$Q28)=0),AND($R28&lt;&gt;"",COUNTIF($B$19:$B27,$R28)=0),AND($S28&lt;&gt;"",COUNTIF($B$19:$B27,$S28)=0),AND($T28&lt;&gt;"",COUNTIF($B$19:$B27,$T28)=0)),"REVISAR",MAX(IFERROR(INDEX($V$19:$V27,MATCH($Q28,$B$19:$B27,0)),0),IFERROR(INDEX($V$19:$V27,MATCH($R28,$B$19:$B27,0)),0),IFERROR(INDEX($V$19:$V27,MATCH($S28,$B$19:$B27,0)),0),IFERROR(INDEX($V$19:$V27,MATCH($T28,$B$19:$B27,0)),0))))</x:f>
      </x:c>
      <x:c r="V28" s="336" t="str">
        <x:f>IF(ISNUMBER($U28),$U28+IF($J28="",0,$J28),"")</x:f>
      </x:c>
      <x:c r="W28" s="337"/>
      <x:c r="X28" s="338" t="str">
        <x:f>IF(COUNTA($B28:$K28)+COUNTA($Q28:$T28)+COUNTA($W28)=0,"",IF($B28="","FALTA ID",IF(COUNTIF($B$19:$B$118,$B28)&gt;1,"ID REPETIDO",IF($E28="","FALTA DESCRIPCIÓN",IF($K28="","FALTA TIPO",IF(AND($K28&lt;&gt;"A",$J28=""),"FALTA TIEMPO",IF(AND($K28="T",OR($G28="",$H28="",$I28="")),"REVISAR TRANSPORTE",IF($U28="REVISAR","REVISAR PRECEDENCIA","OK"))))))))</x:f>
      </x:c>
    </x:row>
    <x:row r="29" ht="24" customHeight="1">
      <x:c r="A29" s="326" t="str">
        <x:f>IF($E29="","",COUNTA($E$19:E29))</x:f>
      </x:c>
      <x:c r="B29" s="327"/>
      <x:c r="C29" s="327"/>
      <x:c r="D29" s="327"/>
      <x:c r="E29" s="328"/>
      <x:c r="F29" s="328"/>
      <x:c r="G29" s="328"/>
      <x:c r="H29" s="328"/>
      <x:c r="I29" s="329"/>
      <x:c r="J29" s="329"/>
      <x:c r="K29" s="327"/>
      <x:c r="L29" s="330" t="str">
        <x:f>IF($K29="O", "●", "")</x:f>
      </x:c>
      <x:c r="M29" s="331" t="str">
        <x:f>IF($K29="T", "➜", "")</x:f>
      </x:c>
      <x:c r="N29" s="332" t="str">
        <x:f>IF($K29="I", "■", "")</x:f>
      </x:c>
      <x:c r="O29" s="333" t="str">
        <x:f>IF($K29="E", "D", "")</x:f>
      </x:c>
      <x:c r="P29" s="334" t="str">
        <x:f>IF($K29="A", "▼", "")</x:f>
      </x:c>
      <x:c r="Q29" s="335"/>
      <x:c r="R29" s="335"/>
      <x:c r="S29" s="335"/>
      <x:c r="T29" s="335"/>
      <x:c r="U29" s="336" t="str">
        <x:f>IF(OR($B29="",$E29="",$K29="",AND($K29&lt;&gt;"A",$J29="")),"",IF(OR(AND($Q29&lt;&gt;"",COUNTIF($B$19:$B28,$Q29)=0),AND($R29&lt;&gt;"",COUNTIF($B$19:$B28,$R29)=0),AND($S29&lt;&gt;"",COUNTIF($B$19:$B28,$S29)=0),AND($T29&lt;&gt;"",COUNTIF($B$19:$B28,$T29)=0)),"REVISAR",MAX(IFERROR(INDEX($V$19:$V28,MATCH($Q29,$B$19:$B28,0)),0),IFERROR(INDEX($V$19:$V28,MATCH($R29,$B$19:$B28,0)),0),IFERROR(INDEX($V$19:$V28,MATCH($S29,$B$19:$B28,0)),0),IFERROR(INDEX($V$19:$V28,MATCH($T29,$B$19:$B28,0)),0))))</x:f>
      </x:c>
      <x:c r="V29" s="336" t="str">
        <x:f>IF(ISNUMBER($U29),$U29+IF($J29="",0,$J29),"")</x:f>
      </x:c>
      <x:c r="W29" s="337"/>
      <x:c r="X29" s="338" t="str">
        <x:f>IF(COUNTA($B29:$K29)+COUNTA($Q29:$T29)+COUNTA($W29)=0,"",IF($B29="","FALTA ID",IF(COUNTIF($B$19:$B$118,$B29)&gt;1,"ID REPETIDO",IF($E29="","FALTA DESCRIPCIÓN",IF($K29="","FALTA TIPO",IF(AND($K29&lt;&gt;"A",$J29=""),"FALTA TIEMPO",IF(AND($K29="T",OR($G29="",$H29="",$I29="")),"REVISAR TRANSPORTE",IF($U29="REVISAR","REVISAR PRECEDENCIA","OK"))))))))</x:f>
      </x:c>
    </x:row>
    <x:row r="30" ht="24" customHeight="1">
      <x:c r="A30" s="326" t="str">
        <x:f>IF($E30="","",COUNTA($E$19:E30))</x:f>
      </x:c>
      <x:c r="B30" s="327"/>
      <x:c r="C30" s="327"/>
      <x:c r="D30" s="327"/>
      <x:c r="E30" s="328"/>
      <x:c r="F30" s="328"/>
      <x:c r="G30" s="328"/>
      <x:c r="H30" s="328"/>
      <x:c r="I30" s="329"/>
      <x:c r="J30" s="329"/>
      <x:c r="K30" s="327"/>
      <x:c r="L30" s="330" t="str">
        <x:f>IF($K30="O", "●", "")</x:f>
      </x:c>
      <x:c r="M30" s="331" t="str">
        <x:f>IF($K30="T", "➜", "")</x:f>
      </x:c>
      <x:c r="N30" s="332" t="str">
        <x:f>IF($K30="I", "■", "")</x:f>
      </x:c>
      <x:c r="O30" s="333" t="str">
        <x:f>IF($K30="E", "D", "")</x:f>
      </x:c>
      <x:c r="P30" s="334" t="str">
        <x:f>IF($K30="A", "▼", "")</x:f>
      </x:c>
      <x:c r="Q30" s="335"/>
      <x:c r="R30" s="335"/>
      <x:c r="S30" s="335"/>
      <x:c r="T30" s="335"/>
      <x:c r="U30" s="336" t="str">
        <x:f>IF(OR($B30="",$E30="",$K30="",AND($K30&lt;&gt;"A",$J30="")),"",IF(OR(AND($Q30&lt;&gt;"",COUNTIF($B$19:$B29,$Q30)=0),AND($R30&lt;&gt;"",COUNTIF($B$19:$B29,$R30)=0),AND($S30&lt;&gt;"",COUNTIF($B$19:$B29,$S30)=0),AND($T30&lt;&gt;"",COUNTIF($B$19:$B29,$T30)=0)),"REVISAR",MAX(IFERROR(INDEX($V$19:$V29,MATCH($Q30,$B$19:$B29,0)),0),IFERROR(INDEX($V$19:$V29,MATCH($R30,$B$19:$B29,0)),0),IFERROR(INDEX($V$19:$V29,MATCH($S30,$B$19:$B29,0)),0),IFERROR(INDEX($V$19:$V29,MATCH($T30,$B$19:$B29,0)),0))))</x:f>
      </x:c>
      <x:c r="V30" s="336" t="str">
        <x:f>IF(ISNUMBER($U30),$U30+IF($J30="",0,$J30),"")</x:f>
      </x:c>
      <x:c r="W30" s="337"/>
      <x:c r="X30" s="338" t="str">
        <x:f>IF(COUNTA($B30:$K30)+COUNTA($Q30:$T30)+COUNTA($W30)=0,"",IF($B30="","FALTA ID",IF(COUNTIF($B$19:$B$118,$B30)&gt;1,"ID REPETIDO",IF($E30="","FALTA DESCRIPCIÓN",IF($K30="","FALTA TIPO",IF(AND($K30&lt;&gt;"A",$J30=""),"FALTA TIEMPO",IF(AND($K30="T",OR($G30="",$H30="",$I30="")),"REVISAR TRANSPORTE",IF($U30="REVISAR","REVISAR PRECEDENCIA","OK"))))))))</x:f>
      </x:c>
    </x:row>
    <x:row r="31" ht="24" customHeight="1">
      <x:c r="A31" s="326" t="str">
        <x:f>IF($E31="","",COUNTA($E$19:E31))</x:f>
      </x:c>
      <x:c r="B31" s="327"/>
      <x:c r="C31" s="327"/>
      <x:c r="D31" s="327"/>
      <x:c r="E31" s="328"/>
      <x:c r="F31" s="328"/>
      <x:c r="G31" s="328"/>
      <x:c r="H31" s="328"/>
      <x:c r="I31" s="329"/>
      <x:c r="J31" s="329"/>
      <x:c r="K31" s="327"/>
      <x:c r="L31" s="330" t="str">
        <x:f>IF($K31="O", "●", "")</x:f>
      </x:c>
      <x:c r="M31" s="331" t="str">
        <x:f>IF($K31="T", "➜", "")</x:f>
      </x:c>
      <x:c r="N31" s="332" t="str">
        <x:f>IF($K31="I", "■", "")</x:f>
      </x:c>
      <x:c r="O31" s="333" t="str">
        <x:f>IF($K31="E", "D", "")</x:f>
      </x:c>
      <x:c r="P31" s="334" t="str">
        <x:f>IF($K31="A", "▼", "")</x:f>
      </x:c>
      <x:c r="Q31" s="335"/>
      <x:c r="R31" s="335"/>
      <x:c r="S31" s="335"/>
      <x:c r="T31" s="335"/>
      <x:c r="U31" s="336" t="str">
        <x:f>IF(OR($B31="",$E31="",$K31="",AND($K31&lt;&gt;"A",$J31="")),"",IF(OR(AND($Q31&lt;&gt;"",COUNTIF($B$19:$B30,$Q31)=0),AND($R31&lt;&gt;"",COUNTIF($B$19:$B30,$R31)=0),AND($S31&lt;&gt;"",COUNTIF($B$19:$B30,$S31)=0),AND($T31&lt;&gt;"",COUNTIF($B$19:$B30,$T31)=0)),"REVISAR",MAX(IFERROR(INDEX($V$19:$V30,MATCH($Q31,$B$19:$B30,0)),0),IFERROR(INDEX($V$19:$V30,MATCH($R31,$B$19:$B30,0)),0),IFERROR(INDEX($V$19:$V30,MATCH($S31,$B$19:$B30,0)),0),IFERROR(INDEX($V$19:$V30,MATCH($T31,$B$19:$B30,0)),0))))</x:f>
      </x:c>
      <x:c r="V31" s="336" t="str">
        <x:f>IF(ISNUMBER($U31),$U31+IF($J31="",0,$J31),"")</x:f>
      </x:c>
      <x:c r="W31" s="337"/>
      <x:c r="X31" s="338" t="str">
        <x:f>IF(COUNTA($B31:$K31)+COUNTA($Q31:$T31)+COUNTA($W31)=0,"",IF($B31="","FALTA ID",IF(COUNTIF($B$19:$B$118,$B31)&gt;1,"ID REPETIDO",IF($E31="","FALTA DESCRIPCIÓN",IF($K31="","FALTA TIPO",IF(AND($K31&lt;&gt;"A",$J31=""),"FALTA TIEMPO",IF(AND($K31="T",OR($G31="",$H31="",$I31="")),"REVISAR TRANSPORTE",IF($U31="REVISAR","REVISAR PRECEDENCIA","OK"))))))))</x:f>
      </x:c>
    </x:row>
    <x:row r="32" ht="24" customHeight="1">
      <x:c r="A32" s="326" t="str">
        <x:f>IF($E32="","",COUNTA($E$19:E32))</x:f>
      </x:c>
      <x:c r="B32" s="327"/>
      <x:c r="C32" s="327"/>
      <x:c r="D32" s="327"/>
      <x:c r="E32" s="328"/>
      <x:c r="F32" s="328"/>
      <x:c r="G32" s="328"/>
      <x:c r="H32" s="328"/>
      <x:c r="I32" s="329"/>
      <x:c r="J32" s="329"/>
      <x:c r="K32" s="327"/>
      <x:c r="L32" s="330" t="str">
        <x:f>IF($K32="O", "●", "")</x:f>
      </x:c>
      <x:c r="M32" s="331" t="str">
        <x:f>IF($K32="T", "➜", "")</x:f>
      </x:c>
      <x:c r="N32" s="332" t="str">
        <x:f>IF($K32="I", "■", "")</x:f>
      </x:c>
      <x:c r="O32" s="333" t="str">
        <x:f>IF($K32="E", "D", "")</x:f>
      </x:c>
      <x:c r="P32" s="334" t="str">
        <x:f>IF($K32="A", "▼", "")</x:f>
      </x:c>
      <x:c r="Q32" s="335"/>
      <x:c r="R32" s="335"/>
      <x:c r="S32" s="335"/>
      <x:c r="T32" s="335"/>
      <x:c r="U32" s="336" t="str">
        <x:f>IF(OR($B32="",$E32="",$K32="",AND($K32&lt;&gt;"A",$J32="")),"",IF(OR(AND($Q32&lt;&gt;"",COUNTIF($B$19:$B31,$Q32)=0),AND($R32&lt;&gt;"",COUNTIF($B$19:$B31,$R32)=0),AND($S32&lt;&gt;"",COUNTIF($B$19:$B31,$S32)=0),AND($T32&lt;&gt;"",COUNTIF($B$19:$B31,$T32)=0)),"REVISAR",MAX(IFERROR(INDEX($V$19:$V31,MATCH($Q32,$B$19:$B31,0)),0),IFERROR(INDEX($V$19:$V31,MATCH($R32,$B$19:$B31,0)),0),IFERROR(INDEX($V$19:$V31,MATCH($S32,$B$19:$B31,0)),0),IFERROR(INDEX($V$19:$V31,MATCH($T32,$B$19:$B31,0)),0))))</x:f>
      </x:c>
      <x:c r="V32" s="336" t="str">
        <x:f>IF(ISNUMBER($U32),$U32+IF($J32="",0,$J32),"")</x:f>
      </x:c>
      <x:c r="W32" s="337"/>
      <x:c r="X32" s="338" t="str">
        <x:f>IF(COUNTA($B32:$K32)+COUNTA($Q32:$T32)+COUNTA($W32)=0,"",IF($B32="","FALTA ID",IF(COUNTIF($B$19:$B$118,$B32)&gt;1,"ID REPETIDO",IF($E32="","FALTA DESCRIPCIÓN",IF($K32="","FALTA TIPO",IF(AND($K32&lt;&gt;"A",$J32=""),"FALTA TIEMPO",IF(AND($K32="T",OR($G32="",$H32="",$I32="")),"REVISAR TRANSPORTE",IF($U32="REVISAR","REVISAR PRECEDENCIA","OK"))))))))</x:f>
      </x:c>
    </x:row>
    <x:row r="33" ht="24" customHeight="1">
      <x:c r="A33" s="326" t="str">
        <x:f>IF($E33="","",COUNTA($E$19:E33))</x:f>
      </x:c>
      <x:c r="B33" s="327"/>
      <x:c r="C33" s="327"/>
      <x:c r="D33" s="327"/>
      <x:c r="E33" s="328"/>
      <x:c r="F33" s="328"/>
      <x:c r="G33" s="328"/>
      <x:c r="H33" s="328"/>
      <x:c r="I33" s="329"/>
      <x:c r="J33" s="329"/>
      <x:c r="K33" s="327"/>
      <x:c r="L33" s="330" t="str">
        <x:f>IF($K33="O", "●", "")</x:f>
      </x:c>
      <x:c r="M33" s="331" t="str">
        <x:f>IF($K33="T", "➜", "")</x:f>
      </x:c>
      <x:c r="N33" s="332" t="str">
        <x:f>IF($K33="I", "■", "")</x:f>
      </x:c>
      <x:c r="O33" s="333" t="str">
        <x:f>IF($K33="E", "D", "")</x:f>
      </x:c>
      <x:c r="P33" s="334" t="str">
        <x:f>IF($K33="A", "▼", "")</x:f>
      </x:c>
      <x:c r="Q33" s="335"/>
      <x:c r="R33" s="335"/>
      <x:c r="S33" s="335"/>
      <x:c r="T33" s="335"/>
      <x:c r="U33" s="336" t="str">
        <x:f>IF(OR($B33="",$E33="",$K33="",AND($K33&lt;&gt;"A",$J33="")),"",IF(OR(AND($Q33&lt;&gt;"",COUNTIF($B$19:$B32,$Q33)=0),AND($R33&lt;&gt;"",COUNTIF($B$19:$B32,$R33)=0),AND($S33&lt;&gt;"",COUNTIF($B$19:$B32,$S33)=0),AND($T33&lt;&gt;"",COUNTIF($B$19:$B32,$T33)=0)),"REVISAR",MAX(IFERROR(INDEX($V$19:$V32,MATCH($Q33,$B$19:$B32,0)),0),IFERROR(INDEX($V$19:$V32,MATCH($R33,$B$19:$B32,0)),0),IFERROR(INDEX($V$19:$V32,MATCH($S33,$B$19:$B32,0)),0),IFERROR(INDEX($V$19:$V32,MATCH($T33,$B$19:$B32,0)),0))))</x:f>
      </x:c>
      <x:c r="V33" s="336" t="str">
        <x:f>IF(ISNUMBER($U33),$U33+IF($J33="",0,$J33),"")</x:f>
      </x:c>
      <x:c r="W33" s="337"/>
      <x:c r="X33" s="338" t="str">
        <x:f>IF(COUNTA($B33:$K33)+COUNTA($Q33:$T33)+COUNTA($W33)=0,"",IF($B33="","FALTA ID",IF(COUNTIF($B$19:$B$118,$B33)&gt;1,"ID REPETIDO",IF($E33="","FALTA DESCRIPCIÓN",IF($K33="","FALTA TIPO",IF(AND($K33&lt;&gt;"A",$J33=""),"FALTA TIEMPO",IF(AND($K33="T",OR($G33="",$H33="",$I33="")),"REVISAR TRANSPORTE",IF($U33="REVISAR","REVISAR PRECEDENCIA","OK"))))))))</x:f>
      </x:c>
    </x:row>
    <x:row r="34" ht="24" customHeight="1">
      <x:c r="A34" s="326" t="str">
        <x:f>IF($E34="","",COUNTA($E$19:E34))</x:f>
      </x:c>
      <x:c r="B34" s="327"/>
      <x:c r="C34" s="327"/>
      <x:c r="D34" s="327"/>
      <x:c r="E34" s="328"/>
      <x:c r="F34" s="328"/>
      <x:c r="G34" s="328"/>
      <x:c r="H34" s="328"/>
      <x:c r="I34" s="329"/>
      <x:c r="J34" s="329"/>
      <x:c r="K34" s="327"/>
      <x:c r="L34" s="330" t="str">
        <x:f>IF($K34="O", "●", "")</x:f>
      </x:c>
      <x:c r="M34" s="331" t="str">
        <x:f>IF($K34="T", "➜", "")</x:f>
      </x:c>
      <x:c r="N34" s="332" t="str">
        <x:f>IF($K34="I", "■", "")</x:f>
      </x:c>
      <x:c r="O34" s="333" t="str">
        <x:f>IF($K34="E", "D", "")</x:f>
      </x:c>
      <x:c r="P34" s="334" t="str">
        <x:f>IF($K34="A", "▼", "")</x:f>
      </x:c>
      <x:c r="Q34" s="335"/>
      <x:c r="R34" s="335"/>
      <x:c r="S34" s="335"/>
      <x:c r="T34" s="335"/>
      <x:c r="U34" s="336" t="str">
        <x:f>IF(OR($B34="",$E34="",$K34="",AND($K34&lt;&gt;"A",$J34="")),"",IF(OR(AND($Q34&lt;&gt;"",COUNTIF($B$19:$B33,$Q34)=0),AND($R34&lt;&gt;"",COUNTIF($B$19:$B33,$R34)=0),AND($S34&lt;&gt;"",COUNTIF($B$19:$B33,$S34)=0),AND($T34&lt;&gt;"",COUNTIF($B$19:$B33,$T34)=0)),"REVISAR",MAX(IFERROR(INDEX($V$19:$V33,MATCH($Q34,$B$19:$B33,0)),0),IFERROR(INDEX($V$19:$V33,MATCH($R34,$B$19:$B33,0)),0),IFERROR(INDEX($V$19:$V33,MATCH($S34,$B$19:$B33,0)),0),IFERROR(INDEX($V$19:$V33,MATCH($T34,$B$19:$B33,0)),0))))</x:f>
      </x:c>
      <x:c r="V34" s="336" t="str">
        <x:f>IF(ISNUMBER($U34),$U34+IF($J34="",0,$J34),"")</x:f>
      </x:c>
      <x:c r="W34" s="337"/>
      <x:c r="X34" s="338" t="str">
        <x:f>IF(COUNTA($B34:$K34)+COUNTA($Q34:$T34)+COUNTA($W34)=0,"",IF($B34="","FALTA ID",IF(COUNTIF($B$19:$B$118,$B34)&gt;1,"ID REPETIDO",IF($E34="","FALTA DESCRIPCIÓN",IF($K34="","FALTA TIPO",IF(AND($K34&lt;&gt;"A",$J34=""),"FALTA TIEMPO",IF(AND($K34="T",OR($G34="",$H34="",$I34="")),"REVISAR TRANSPORTE",IF($U34="REVISAR","REVISAR PRECEDENCIA","OK"))))))))</x:f>
      </x:c>
    </x:row>
    <x:row r="35" ht="24" customHeight="1">
      <x:c r="A35" s="326" t="str">
        <x:f>IF($E35="","",COUNTA($E$19:E35))</x:f>
      </x:c>
      <x:c r="B35" s="327"/>
      <x:c r="C35" s="327"/>
      <x:c r="D35" s="327"/>
      <x:c r="E35" s="328"/>
      <x:c r="F35" s="328"/>
      <x:c r="G35" s="328"/>
      <x:c r="H35" s="328"/>
      <x:c r="I35" s="329"/>
      <x:c r="J35" s="329"/>
      <x:c r="K35" s="327"/>
      <x:c r="L35" s="330" t="str">
        <x:f>IF($K35="O", "●", "")</x:f>
      </x:c>
      <x:c r="M35" s="331" t="str">
        <x:f>IF($K35="T", "➜", "")</x:f>
      </x:c>
      <x:c r="N35" s="332" t="str">
        <x:f>IF($K35="I", "■", "")</x:f>
      </x:c>
      <x:c r="O35" s="333" t="str">
        <x:f>IF($K35="E", "D", "")</x:f>
      </x:c>
      <x:c r="P35" s="334" t="str">
        <x:f>IF($K35="A", "▼", "")</x:f>
      </x:c>
      <x:c r="Q35" s="335"/>
      <x:c r="R35" s="335"/>
      <x:c r="S35" s="335"/>
      <x:c r="T35" s="335"/>
      <x:c r="U35" s="336" t="str">
        <x:f>IF(OR($B35="",$E35="",$K35="",AND($K35&lt;&gt;"A",$J35="")),"",IF(OR(AND($Q35&lt;&gt;"",COUNTIF($B$19:$B34,$Q35)=0),AND($R35&lt;&gt;"",COUNTIF($B$19:$B34,$R35)=0),AND($S35&lt;&gt;"",COUNTIF($B$19:$B34,$S35)=0),AND($T35&lt;&gt;"",COUNTIF($B$19:$B34,$T35)=0)),"REVISAR",MAX(IFERROR(INDEX($V$19:$V34,MATCH($Q35,$B$19:$B34,0)),0),IFERROR(INDEX($V$19:$V34,MATCH($R35,$B$19:$B34,0)),0),IFERROR(INDEX($V$19:$V34,MATCH($S35,$B$19:$B34,0)),0),IFERROR(INDEX($V$19:$V34,MATCH($T35,$B$19:$B34,0)),0))))</x:f>
      </x:c>
      <x:c r="V35" s="336" t="str">
        <x:f>IF(ISNUMBER($U35),$U35+IF($J35="",0,$J35),"")</x:f>
      </x:c>
      <x:c r="W35" s="337"/>
      <x:c r="X35" s="338" t="str">
        <x:f>IF(COUNTA($B35:$K35)+COUNTA($Q35:$T35)+COUNTA($W35)=0,"",IF($B35="","FALTA ID",IF(COUNTIF($B$19:$B$118,$B35)&gt;1,"ID REPETIDO",IF($E35="","FALTA DESCRIPCIÓN",IF($K35="","FALTA TIPO",IF(AND($K35&lt;&gt;"A",$J35=""),"FALTA TIEMPO",IF(AND($K35="T",OR($G35="",$H35="",$I35="")),"REVISAR TRANSPORTE",IF($U35="REVISAR","REVISAR PRECEDENCIA","OK"))))))))</x:f>
      </x:c>
    </x:row>
    <x:row r="36" ht="24" customHeight="1">
      <x:c r="A36" s="326" t="str">
        <x:f>IF($E36="","",COUNTA($E$19:E36))</x:f>
      </x:c>
      <x:c r="B36" s="327"/>
      <x:c r="C36" s="327"/>
      <x:c r="D36" s="327"/>
      <x:c r="E36" s="328"/>
      <x:c r="F36" s="328"/>
      <x:c r="G36" s="328"/>
      <x:c r="H36" s="328"/>
      <x:c r="I36" s="329"/>
      <x:c r="J36" s="329"/>
      <x:c r="K36" s="327"/>
      <x:c r="L36" s="330" t="str">
        <x:f>IF($K36="O", "●", "")</x:f>
      </x:c>
      <x:c r="M36" s="331" t="str">
        <x:f>IF($K36="T", "➜", "")</x:f>
      </x:c>
      <x:c r="N36" s="332" t="str">
        <x:f>IF($K36="I", "■", "")</x:f>
      </x:c>
      <x:c r="O36" s="333" t="str">
        <x:f>IF($K36="E", "D", "")</x:f>
      </x:c>
      <x:c r="P36" s="334" t="str">
        <x:f>IF($K36="A", "▼", "")</x:f>
      </x:c>
      <x:c r="Q36" s="335"/>
      <x:c r="R36" s="335"/>
      <x:c r="S36" s="335"/>
      <x:c r="T36" s="335"/>
      <x:c r="U36" s="336" t="str">
        <x:f>IF(OR($B36="",$E36="",$K36="",AND($K36&lt;&gt;"A",$J36="")),"",IF(OR(AND($Q36&lt;&gt;"",COUNTIF($B$19:$B35,$Q36)=0),AND($R36&lt;&gt;"",COUNTIF($B$19:$B35,$R36)=0),AND($S36&lt;&gt;"",COUNTIF($B$19:$B35,$S36)=0),AND($T36&lt;&gt;"",COUNTIF($B$19:$B35,$T36)=0)),"REVISAR",MAX(IFERROR(INDEX($V$19:$V35,MATCH($Q36,$B$19:$B35,0)),0),IFERROR(INDEX($V$19:$V35,MATCH($R36,$B$19:$B35,0)),0),IFERROR(INDEX($V$19:$V35,MATCH($S36,$B$19:$B35,0)),0),IFERROR(INDEX($V$19:$V35,MATCH($T36,$B$19:$B35,0)),0))))</x:f>
      </x:c>
      <x:c r="V36" s="336" t="str">
        <x:f>IF(ISNUMBER($U36),$U36+IF($J36="",0,$J36),"")</x:f>
      </x:c>
      <x:c r="W36" s="337"/>
      <x:c r="X36" s="338" t="str">
        <x:f>IF(COUNTA($B36:$K36)+COUNTA($Q36:$T36)+COUNTA($W36)=0,"",IF($B36="","FALTA ID",IF(COUNTIF($B$19:$B$118,$B36)&gt;1,"ID REPETIDO",IF($E36="","FALTA DESCRIPCIÓN",IF($K36="","FALTA TIPO",IF(AND($K36&lt;&gt;"A",$J36=""),"FALTA TIEMPO",IF(AND($K36="T",OR($G36="",$H36="",$I36="")),"REVISAR TRANSPORTE",IF($U36="REVISAR","REVISAR PRECEDENCIA","OK"))))))))</x:f>
      </x:c>
    </x:row>
    <x:row r="37" ht="24" customHeight="1">
      <x:c r="A37" s="326" t="str">
        <x:f>IF($E37="","",COUNTA($E$19:E37))</x:f>
      </x:c>
      <x:c r="B37" s="327"/>
      <x:c r="C37" s="327"/>
      <x:c r="D37" s="327"/>
      <x:c r="E37" s="328"/>
      <x:c r="F37" s="328"/>
      <x:c r="G37" s="328"/>
      <x:c r="H37" s="328"/>
      <x:c r="I37" s="329"/>
      <x:c r="J37" s="329"/>
      <x:c r="K37" s="327"/>
      <x:c r="L37" s="330" t="str">
        <x:f>IF($K37="O", "●", "")</x:f>
      </x:c>
      <x:c r="M37" s="331" t="str">
        <x:f>IF($K37="T", "➜", "")</x:f>
      </x:c>
      <x:c r="N37" s="332" t="str">
        <x:f>IF($K37="I", "■", "")</x:f>
      </x:c>
      <x:c r="O37" s="333" t="str">
        <x:f>IF($K37="E", "D", "")</x:f>
      </x:c>
      <x:c r="P37" s="334" t="str">
        <x:f>IF($K37="A", "▼", "")</x:f>
      </x:c>
      <x:c r="Q37" s="335"/>
      <x:c r="R37" s="335"/>
      <x:c r="S37" s="335"/>
      <x:c r="T37" s="335"/>
      <x:c r="U37" s="336" t="str">
        <x:f>IF(OR($B37="",$E37="",$K37="",AND($K37&lt;&gt;"A",$J37="")),"",IF(OR(AND($Q37&lt;&gt;"",COUNTIF($B$19:$B36,$Q37)=0),AND($R37&lt;&gt;"",COUNTIF($B$19:$B36,$R37)=0),AND($S37&lt;&gt;"",COUNTIF($B$19:$B36,$S37)=0),AND($T37&lt;&gt;"",COUNTIF($B$19:$B36,$T37)=0)),"REVISAR",MAX(IFERROR(INDEX($V$19:$V36,MATCH($Q37,$B$19:$B36,0)),0),IFERROR(INDEX($V$19:$V36,MATCH($R37,$B$19:$B36,0)),0),IFERROR(INDEX($V$19:$V36,MATCH($S37,$B$19:$B36,0)),0),IFERROR(INDEX($V$19:$V36,MATCH($T37,$B$19:$B36,0)),0))))</x:f>
      </x:c>
      <x:c r="V37" s="336" t="str">
        <x:f>IF(ISNUMBER($U37),$U37+IF($J37="",0,$J37),"")</x:f>
      </x:c>
      <x:c r="W37" s="337"/>
      <x:c r="X37" s="338" t="str">
        <x:f>IF(COUNTA($B37:$K37)+COUNTA($Q37:$T37)+COUNTA($W37)=0,"",IF($B37="","FALTA ID",IF(COUNTIF($B$19:$B$118,$B37)&gt;1,"ID REPETIDO",IF($E37="","FALTA DESCRIPCIÓN",IF($K37="","FALTA TIPO",IF(AND($K37&lt;&gt;"A",$J37=""),"FALTA TIEMPO",IF(AND($K37="T",OR($G37="",$H37="",$I37="")),"REVISAR TRANSPORTE",IF($U37="REVISAR","REVISAR PRECEDENCIA","OK"))))))))</x:f>
      </x:c>
    </x:row>
    <x:row r="38" ht="24" customHeight="1">
      <x:c r="A38" s="326" t="str">
        <x:f>IF($E38="","",COUNTA($E$19:E38))</x:f>
      </x:c>
      <x:c r="B38" s="327"/>
      <x:c r="C38" s="327"/>
      <x:c r="D38" s="327"/>
      <x:c r="E38" s="328"/>
      <x:c r="F38" s="328"/>
      <x:c r="G38" s="328"/>
      <x:c r="H38" s="328"/>
      <x:c r="I38" s="329"/>
      <x:c r="J38" s="329"/>
      <x:c r="K38" s="327"/>
      <x:c r="L38" s="330" t="str">
        <x:f>IF($K38="O", "●", "")</x:f>
      </x:c>
      <x:c r="M38" s="331" t="str">
        <x:f>IF($K38="T", "➜", "")</x:f>
      </x:c>
      <x:c r="N38" s="332" t="str">
        <x:f>IF($K38="I", "■", "")</x:f>
      </x:c>
      <x:c r="O38" s="333" t="str">
        <x:f>IF($K38="E", "D", "")</x:f>
      </x:c>
      <x:c r="P38" s="334" t="str">
        <x:f>IF($K38="A", "▼", "")</x:f>
      </x:c>
      <x:c r="Q38" s="335"/>
      <x:c r="R38" s="335"/>
      <x:c r="S38" s="335"/>
      <x:c r="T38" s="335"/>
      <x:c r="U38" s="336" t="str">
        <x:f>IF(OR($B38="",$E38="",$K38="",AND($K38&lt;&gt;"A",$J38="")),"",IF(OR(AND($Q38&lt;&gt;"",COUNTIF($B$19:$B37,$Q38)=0),AND($R38&lt;&gt;"",COUNTIF($B$19:$B37,$R38)=0),AND($S38&lt;&gt;"",COUNTIF($B$19:$B37,$S38)=0),AND($T38&lt;&gt;"",COUNTIF($B$19:$B37,$T38)=0)),"REVISAR",MAX(IFERROR(INDEX($V$19:$V37,MATCH($Q38,$B$19:$B37,0)),0),IFERROR(INDEX($V$19:$V37,MATCH($R38,$B$19:$B37,0)),0),IFERROR(INDEX($V$19:$V37,MATCH($S38,$B$19:$B37,0)),0),IFERROR(INDEX($V$19:$V37,MATCH($T38,$B$19:$B37,0)),0))))</x:f>
      </x:c>
      <x:c r="V38" s="336" t="str">
        <x:f>IF(ISNUMBER($U38),$U38+IF($J38="",0,$J38),"")</x:f>
      </x:c>
      <x:c r="W38" s="337"/>
      <x:c r="X38" s="338" t="str">
        <x:f>IF(COUNTA($B38:$K38)+COUNTA($Q38:$T38)+COUNTA($W38)=0,"",IF($B38="","FALTA ID",IF(COUNTIF($B$19:$B$118,$B38)&gt;1,"ID REPETIDO",IF($E38="","FALTA DESCRIPCIÓN",IF($K38="","FALTA TIPO",IF(AND($K38&lt;&gt;"A",$J38=""),"FALTA TIEMPO",IF(AND($K38="T",OR($G38="",$H38="",$I38="")),"REVISAR TRANSPORTE",IF($U38="REVISAR","REVISAR PRECEDENCIA","OK"))))))))</x:f>
      </x:c>
    </x:row>
    <x:row r="39" ht="24" customHeight="1">
      <x:c r="A39" s="326" t="str">
        <x:f>IF($E39="","",COUNTA($E$19:E39))</x:f>
      </x:c>
      <x:c r="B39" s="327"/>
      <x:c r="C39" s="327"/>
      <x:c r="D39" s="327"/>
      <x:c r="E39" s="328"/>
      <x:c r="F39" s="328"/>
      <x:c r="G39" s="328"/>
      <x:c r="H39" s="328"/>
      <x:c r="I39" s="329"/>
      <x:c r="J39" s="329"/>
      <x:c r="K39" s="327"/>
      <x:c r="L39" s="330" t="str">
        <x:f>IF($K39="O", "●", "")</x:f>
      </x:c>
      <x:c r="M39" s="331" t="str">
        <x:f>IF($K39="T", "➜", "")</x:f>
      </x:c>
      <x:c r="N39" s="332" t="str">
        <x:f>IF($K39="I", "■", "")</x:f>
      </x:c>
      <x:c r="O39" s="333" t="str">
        <x:f>IF($K39="E", "D", "")</x:f>
      </x:c>
      <x:c r="P39" s="334" t="str">
        <x:f>IF($K39="A", "▼", "")</x:f>
      </x:c>
      <x:c r="Q39" s="335"/>
      <x:c r="R39" s="335"/>
      <x:c r="S39" s="335"/>
      <x:c r="T39" s="335"/>
      <x:c r="U39" s="336" t="str">
        <x:f>IF(OR($B39="",$E39="",$K39="",AND($K39&lt;&gt;"A",$J39="")),"",IF(OR(AND($Q39&lt;&gt;"",COUNTIF($B$19:$B38,$Q39)=0),AND($R39&lt;&gt;"",COUNTIF($B$19:$B38,$R39)=0),AND($S39&lt;&gt;"",COUNTIF($B$19:$B38,$S39)=0),AND($T39&lt;&gt;"",COUNTIF($B$19:$B38,$T39)=0)),"REVISAR",MAX(IFERROR(INDEX($V$19:$V38,MATCH($Q39,$B$19:$B38,0)),0),IFERROR(INDEX($V$19:$V38,MATCH($R39,$B$19:$B38,0)),0),IFERROR(INDEX($V$19:$V38,MATCH($S39,$B$19:$B38,0)),0),IFERROR(INDEX($V$19:$V38,MATCH($T39,$B$19:$B38,0)),0))))</x:f>
      </x:c>
      <x:c r="V39" s="336" t="str">
        <x:f>IF(ISNUMBER($U39),$U39+IF($J39="",0,$J39),"")</x:f>
      </x:c>
      <x:c r="W39" s="337"/>
      <x:c r="X39" s="338" t="str">
        <x:f>IF(COUNTA($B39:$K39)+COUNTA($Q39:$T39)+COUNTA($W39)=0,"",IF($B39="","FALTA ID",IF(COUNTIF($B$19:$B$118,$B39)&gt;1,"ID REPETIDO",IF($E39="","FALTA DESCRIPCIÓN",IF($K39="","FALTA TIPO",IF(AND($K39&lt;&gt;"A",$J39=""),"FALTA TIEMPO",IF(AND($K39="T",OR($G39="",$H39="",$I39="")),"REVISAR TRANSPORTE",IF($U39="REVISAR","REVISAR PRECEDENCIA","OK"))))))))</x:f>
      </x:c>
    </x:row>
    <x:row r="40" ht="24" customHeight="1">
      <x:c r="A40" s="326" t="str">
        <x:f>IF($E40="","",COUNTA($E$19:E40))</x:f>
      </x:c>
      <x:c r="B40" s="327"/>
      <x:c r="C40" s="327"/>
      <x:c r="D40" s="327"/>
      <x:c r="E40" s="328"/>
      <x:c r="F40" s="328"/>
      <x:c r="G40" s="328"/>
      <x:c r="H40" s="328"/>
      <x:c r="I40" s="329"/>
      <x:c r="J40" s="329"/>
      <x:c r="K40" s="327"/>
      <x:c r="L40" s="330" t="str">
        <x:f>IF($K40="O", "●", "")</x:f>
      </x:c>
      <x:c r="M40" s="331" t="str">
        <x:f>IF($K40="T", "➜", "")</x:f>
      </x:c>
      <x:c r="N40" s="332" t="str">
        <x:f>IF($K40="I", "■", "")</x:f>
      </x:c>
      <x:c r="O40" s="333" t="str">
        <x:f>IF($K40="E", "D", "")</x:f>
      </x:c>
      <x:c r="P40" s="334" t="str">
        <x:f>IF($K40="A", "▼", "")</x:f>
      </x:c>
      <x:c r="Q40" s="335"/>
      <x:c r="R40" s="335"/>
      <x:c r="S40" s="335"/>
      <x:c r="T40" s="335"/>
      <x:c r="U40" s="336" t="str">
        <x:f>IF(OR($B40="",$E40="",$K40="",AND($K40&lt;&gt;"A",$J40="")),"",IF(OR(AND($Q40&lt;&gt;"",COUNTIF($B$19:$B39,$Q40)=0),AND($R40&lt;&gt;"",COUNTIF($B$19:$B39,$R40)=0),AND($S40&lt;&gt;"",COUNTIF($B$19:$B39,$S40)=0),AND($T40&lt;&gt;"",COUNTIF($B$19:$B39,$T40)=0)),"REVISAR",MAX(IFERROR(INDEX($V$19:$V39,MATCH($Q40,$B$19:$B39,0)),0),IFERROR(INDEX($V$19:$V39,MATCH($R40,$B$19:$B39,0)),0),IFERROR(INDEX($V$19:$V39,MATCH($S40,$B$19:$B39,0)),0),IFERROR(INDEX($V$19:$V39,MATCH($T40,$B$19:$B39,0)),0))))</x:f>
      </x:c>
      <x:c r="V40" s="336" t="str">
        <x:f>IF(ISNUMBER($U40),$U40+IF($J40="",0,$J40),"")</x:f>
      </x:c>
      <x:c r="W40" s="337"/>
      <x:c r="X40" s="338" t="str">
        <x:f>IF(COUNTA($B40:$K40)+COUNTA($Q40:$T40)+COUNTA($W40)=0,"",IF($B40="","FALTA ID",IF(COUNTIF($B$19:$B$118,$B40)&gt;1,"ID REPETIDO",IF($E40="","FALTA DESCRIPCIÓN",IF($K40="","FALTA TIPO",IF(AND($K40&lt;&gt;"A",$J40=""),"FALTA TIEMPO",IF(AND($K40="T",OR($G40="",$H40="",$I40="")),"REVISAR TRANSPORTE",IF($U40="REVISAR","REVISAR PRECEDENCIA","OK"))))))))</x:f>
      </x:c>
    </x:row>
    <x:row r="41" ht="24" customHeight="1">
      <x:c r="A41" s="326" t="str">
        <x:f>IF($E41="","",COUNTA($E$19:E41))</x:f>
      </x:c>
      <x:c r="B41" s="327"/>
      <x:c r="C41" s="327"/>
      <x:c r="D41" s="327"/>
      <x:c r="E41" s="328"/>
      <x:c r="F41" s="328"/>
      <x:c r="G41" s="328"/>
      <x:c r="H41" s="328"/>
      <x:c r="I41" s="329"/>
      <x:c r="J41" s="329"/>
      <x:c r="K41" s="327"/>
      <x:c r="L41" s="330" t="str">
        <x:f>IF($K41="O", "●", "")</x:f>
      </x:c>
      <x:c r="M41" s="331" t="str">
        <x:f>IF($K41="T", "➜", "")</x:f>
      </x:c>
      <x:c r="N41" s="332" t="str">
        <x:f>IF($K41="I", "■", "")</x:f>
      </x:c>
      <x:c r="O41" s="333" t="str">
        <x:f>IF($K41="E", "D", "")</x:f>
      </x:c>
      <x:c r="P41" s="334" t="str">
        <x:f>IF($K41="A", "▼", "")</x:f>
      </x:c>
      <x:c r="Q41" s="335"/>
      <x:c r="R41" s="335"/>
      <x:c r="S41" s="335"/>
      <x:c r="T41" s="335"/>
      <x:c r="U41" s="336" t="str">
        <x:f>IF(OR($B41="",$E41="",$K41="",AND($K41&lt;&gt;"A",$J41="")),"",IF(OR(AND($Q41&lt;&gt;"",COUNTIF($B$19:$B40,$Q41)=0),AND($R41&lt;&gt;"",COUNTIF($B$19:$B40,$R41)=0),AND($S41&lt;&gt;"",COUNTIF($B$19:$B40,$S41)=0),AND($T41&lt;&gt;"",COUNTIF($B$19:$B40,$T41)=0)),"REVISAR",MAX(IFERROR(INDEX($V$19:$V40,MATCH($Q41,$B$19:$B40,0)),0),IFERROR(INDEX($V$19:$V40,MATCH($R41,$B$19:$B40,0)),0),IFERROR(INDEX($V$19:$V40,MATCH($S41,$B$19:$B40,0)),0),IFERROR(INDEX($V$19:$V40,MATCH($T41,$B$19:$B40,0)),0))))</x:f>
      </x:c>
      <x:c r="V41" s="336" t="str">
        <x:f>IF(ISNUMBER($U41),$U41+IF($J41="",0,$J41),"")</x:f>
      </x:c>
      <x:c r="W41" s="337"/>
      <x:c r="X41" s="338" t="str">
        <x:f>IF(COUNTA($B41:$K41)+COUNTA($Q41:$T41)+COUNTA($W41)=0,"",IF($B41="","FALTA ID",IF(COUNTIF($B$19:$B$118,$B41)&gt;1,"ID REPETIDO",IF($E41="","FALTA DESCRIPCIÓN",IF($K41="","FALTA TIPO",IF(AND($K41&lt;&gt;"A",$J41=""),"FALTA TIEMPO",IF(AND($K41="T",OR($G41="",$H41="",$I41="")),"REVISAR TRANSPORTE",IF($U41="REVISAR","REVISAR PRECEDENCIA","OK"))))))))</x:f>
      </x:c>
    </x:row>
    <x:row r="42" ht="24" customHeight="1">
      <x:c r="A42" s="326" t="str">
        <x:f>IF($E42="","",COUNTA($E$19:E42))</x:f>
      </x:c>
      <x:c r="B42" s="327"/>
      <x:c r="C42" s="327"/>
      <x:c r="D42" s="327"/>
      <x:c r="E42" s="328"/>
      <x:c r="F42" s="328"/>
      <x:c r="G42" s="328"/>
      <x:c r="H42" s="328"/>
      <x:c r="I42" s="329"/>
      <x:c r="J42" s="329"/>
      <x:c r="K42" s="327"/>
      <x:c r="L42" s="330" t="str">
        <x:f>IF($K42="O", "●", "")</x:f>
      </x:c>
      <x:c r="M42" s="331" t="str">
        <x:f>IF($K42="T", "➜", "")</x:f>
      </x:c>
      <x:c r="N42" s="332" t="str">
        <x:f>IF($K42="I", "■", "")</x:f>
      </x:c>
      <x:c r="O42" s="333" t="str">
        <x:f>IF($K42="E", "D", "")</x:f>
      </x:c>
      <x:c r="P42" s="334" t="str">
        <x:f>IF($K42="A", "▼", "")</x:f>
      </x:c>
      <x:c r="Q42" s="335"/>
      <x:c r="R42" s="335"/>
      <x:c r="S42" s="335"/>
      <x:c r="T42" s="335"/>
      <x:c r="U42" s="336" t="str">
        <x:f>IF(OR($B42="",$E42="",$K42="",AND($K42&lt;&gt;"A",$J42="")),"",IF(OR(AND($Q42&lt;&gt;"",COUNTIF($B$19:$B41,$Q42)=0),AND($R42&lt;&gt;"",COUNTIF($B$19:$B41,$R42)=0),AND($S42&lt;&gt;"",COUNTIF($B$19:$B41,$S42)=0),AND($T42&lt;&gt;"",COUNTIF($B$19:$B41,$T42)=0)),"REVISAR",MAX(IFERROR(INDEX($V$19:$V41,MATCH($Q42,$B$19:$B41,0)),0),IFERROR(INDEX($V$19:$V41,MATCH($R42,$B$19:$B41,0)),0),IFERROR(INDEX($V$19:$V41,MATCH($S42,$B$19:$B41,0)),0),IFERROR(INDEX($V$19:$V41,MATCH($T42,$B$19:$B41,0)),0))))</x:f>
      </x:c>
      <x:c r="V42" s="336" t="str">
        <x:f>IF(ISNUMBER($U42),$U42+IF($J42="",0,$J42),"")</x:f>
      </x:c>
      <x:c r="W42" s="337"/>
      <x:c r="X42" s="338" t="str">
        <x:f>IF(COUNTA($B42:$K42)+COUNTA($Q42:$T42)+COUNTA($W42)=0,"",IF($B42="","FALTA ID",IF(COUNTIF($B$19:$B$118,$B42)&gt;1,"ID REPETIDO",IF($E42="","FALTA DESCRIPCIÓN",IF($K42="","FALTA TIPO",IF(AND($K42&lt;&gt;"A",$J42=""),"FALTA TIEMPO",IF(AND($K42="T",OR($G42="",$H42="",$I42="")),"REVISAR TRANSPORTE",IF($U42="REVISAR","REVISAR PRECEDENCIA","OK"))))))))</x:f>
      </x:c>
    </x:row>
    <x:row r="43" ht="24" customHeight="1">
      <x:c r="A43" s="326" t="str">
        <x:f>IF($E43="","",COUNTA($E$19:E43))</x:f>
      </x:c>
      <x:c r="B43" s="327"/>
      <x:c r="C43" s="327"/>
      <x:c r="D43" s="327"/>
      <x:c r="E43" s="328"/>
      <x:c r="F43" s="328"/>
      <x:c r="G43" s="328"/>
      <x:c r="H43" s="328"/>
      <x:c r="I43" s="329"/>
      <x:c r="J43" s="329"/>
      <x:c r="K43" s="327"/>
      <x:c r="L43" s="330" t="str">
        <x:f>IF($K43="O", "●", "")</x:f>
      </x:c>
      <x:c r="M43" s="331" t="str">
        <x:f>IF($K43="T", "➜", "")</x:f>
      </x:c>
      <x:c r="N43" s="332" t="str">
        <x:f>IF($K43="I", "■", "")</x:f>
      </x:c>
      <x:c r="O43" s="333" t="str">
        <x:f>IF($K43="E", "D", "")</x:f>
      </x:c>
      <x:c r="P43" s="334" t="str">
        <x:f>IF($K43="A", "▼", "")</x:f>
      </x:c>
      <x:c r="Q43" s="335"/>
      <x:c r="R43" s="335"/>
      <x:c r="S43" s="335"/>
      <x:c r="T43" s="335"/>
      <x:c r="U43" s="336" t="str">
        <x:f>IF(OR($B43="",$E43="",$K43="",AND($K43&lt;&gt;"A",$J43="")),"",IF(OR(AND($Q43&lt;&gt;"",COUNTIF($B$19:$B42,$Q43)=0),AND($R43&lt;&gt;"",COUNTIF($B$19:$B42,$R43)=0),AND($S43&lt;&gt;"",COUNTIF($B$19:$B42,$S43)=0),AND($T43&lt;&gt;"",COUNTIF($B$19:$B42,$T43)=0)),"REVISAR",MAX(IFERROR(INDEX($V$19:$V42,MATCH($Q43,$B$19:$B42,0)),0),IFERROR(INDEX($V$19:$V42,MATCH($R43,$B$19:$B42,0)),0),IFERROR(INDEX($V$19:$V42,MATCH($S43,$B$19:$B42,0)),0),IFERROR(INDEX($V$19:$V42,MATCH($T43,$B$19:$B42,0)),0))))</x:f>
      </x:c>
      <x:c r="V43" s="336" t="str">
        <x:f>IF(ISNUMBER($U43),$U43+IF($J43="",0,$J43),"")</x:f>
      </x:c>
      <x:c r="W43" s="337"/>
      <x:c r="X43" s="338" t="str">
        <x:f>IF(COUNTA($B43:$K43)+COUNTA($Q43:$T43)+COUNTA($W43)=0,"",IF($B43="","FALTA ID",IF(COUNTIF($B$19:$B$118,$B43)&gt;1,"ID REPETIDO",IF($E43="","FALTA DESCRIPCIÓN",IF($K43="","FALTA TIPO",IF(AND($K43&lt;&gt;"A",$J43=""),"FALTA TIEMPO",IF(AND($K43="T",OR($G43="",$H43="",$I43="")),"REVISAR TRANSPORTE",IF($U43="REVISAR","REVISAR PRECEDENCIA","OK"))))))))</x:f>
      </x:c>
    </x:row>
    <x:row r="44" ht="24" customHeight="1">
      <x:c r="A44" s="326" t="str">
        <x:f>IF($E44="","",COUNTA($E$19:E44))</x:f>
      </x:c>
      <x:c r="B44" s="327"/>
      <x:c r="C44" s="327"/>
      <x:c r="D44" s="327"/>
      <x:c r="E44" s="328"/>
      <x:c r="F44" s="328"/>
      <x:c r="G44" s="328"/>
      <x:c r="H44" s="328"/>
      <x:c r="I44" s="329"/>
      <x:c r="J44" s="329"/>
      <x:c r="K44" s="327"/>
      <x:c r="L44" s="330" t="str">
        <x:f>IF($K44="O", "●", "")</x:f>
      </x:c>
      <x:c r="M44" s="331" t="str">
        <x:f>IF($K44="T", "➜", "")</x:f>
      </x:c>
      <x:c r="N44" s="332" t="str">
        <x:f>IF($K44="I", "■", "")</x:f>
      </x:c>
      <x:c r="O44" s="333" t="str">
        <x:f>IF($K44="E", "D", "")</x:f>
      </x:c>
      <x:c r="P44" s="334" t="str">
        <x:f>IF($K44="A", "▼", "")</x:f>
      </x:c>
      <x:c r="Q44" s="335"/>
      <x:c r="R44" s="335"/>
      <x:c r="S44" s="335"/>
      <x:c r="T44" s="335"/>
      <x:c r="U44" s="336" t="str">
        <x:f>IF(OR($B44="",$E44="",$K44="",AND($K44&lt;&gt;"A",$J44="")),"",IF(OR(AND($Q44&lt;&gt;"",COUNTIF($B$19:$B43,$Q44)=0),AND($R44&lt;&gt;"",COUNTIF($B$19:$B43,$R44)=0),AND($S44&lt;&gt;"",COUNTIF($B$19:$B43,$S44)=0),AND($T44&lt;&gt;"",COUNTIF($B$19:$B43,$T44)=0)),"REVISAR",MAX(IFERROR(INDEX($V$19:$V43,MATCH($Q44,$B$19:$B43,0)),0),IFERROR(INDEX($V$19:$V43,MATCH($R44,$B$19:$B43,0)),0),IFERROR(INDEX($V$19:$V43,MATCH($S44,$B$19:$B43,0)),0),IFERROR(INDEX($V$19:$V43,MATCH($T44,$B$19:$B43,0)),0))))</x:f>
      </x:c>
      <x:c r="V44" s="336" t="str">
        <x:f>IF(ISNUMBER($U44),$U44+IF($J44="",0,$J44),"")</x:f>
      </x:c>
      <x:c r="W44" s="337"/>
      <x:c r="X44" s="338" t="str">
        <x:f>IF(COUNTA($B44:$K44)+COUNTA($Q44:$T44)+COUNTA($W44)=0,"",IF($B44="","FALTA ID",IF(COUNTIF($B$19:$B$118,$B44)&gt;1,"ID REPETIDO",IF($E44="","FALTA DESCRIPCIÓN",IF($K44="","FALTA TIPO",IF(AND($K44&lt;&gt;"A",$J44=""),"FALTA TIEMPO",IF(AND($K44="T",OR($G44="",$H44="",$I44="")),"REVISAR TRANSPORTE",IF($U44="REVISAR","REVISAR PRECEDENCIA","OK"))))))))</x:f>
      </x:c>
    </x:row>
    <x:row r="45" ht="24" customHeight="1">
      <x:c r="A45" s="326" t="str">
        <x:f>IF($E45="","",COUNTA($E$19:E45))</x:f>
      </x:c>
      <x:c r="B45" s="327"/>
      <x:c r="C45" s="327"/>
      <x:c r="D45" s="327"/>
      <x:c r="E45" s="328"/>
      <x:c r="F45" s="328"/>
      <x:c r="G45" s="328"/>
      <x:c r="H45" s="328"/>
      <x:c r="I45" s="329"/>
      <x:c r="J45" s="329"/>
      <x:c r="K45" s="327"/>
      <x:c r="L45" s="330" t="str">
        <x:f>IF($K45="O", "●", "")</x:f>
      </x:c>
      <x:c r="M45" s="331" t="str">
        <x:f>IF($K45="T", "➜", "")</x:f>
      </x:c>
      <x:c r="N45" s="332" t="str">
        <x:f>IF($K45="I", "■", "")</x:f>
      </x:c>
      <x:c r="O45" s="333" t="str">
        <x:f>IF($K45="E", "D", "")</x:f>
      </x:c>
      <x:c r="P45" s="334" t="str">
        <x:f>IF($K45="A", "▼", "")</x:f>
      </x:c>
      <x:c r="Q45" s="335"/>
      <x:c r="R45" s="335"/>
      <x:c r="S45" s="335"/>
      <x:c r="T45" s="335"/>
      <x:c r="U45" s="336" t="str">
        <x:f>IF(OR($B45="",$E45="",$K45="",AND($K45&lt;&gt;"A",$J45="")),"",IF(OR(AND($Q45&lt;&gt;"",COUNTIF($B$19:$B44,$Q45)=0),AND($R45&lt;&gt;"",COUNTIF($B$19:$B44,$R45)=0),AND($S45&lt;&gt;"",COUNTIF($B$19:$B44,$S45)=0),AND($T45&lt;&gt;"",COUNTIF($B$19:$B44,$T45)=0)),"REVISAR",MAX(IFERROR(INDEX($V$19:$V44,MATCH($Q45,$B$19:$B44,0)),0),IFERROR(INDEX($V$19:$V44,MATCH($R45,$B$19:$B44,0)),0),IFERROR(INDEX($V$19:$V44,MATCH($S45,$B$19:$B44,0)),0),IFERROR(INDEX($V$19:$V44,MATCH($T45,$B$19:$B44,0)),0))))</x:f>
      </x:c>
      <x:c r="V45" s="336" t="str">
        <x:f>IF(ISNUMBER($U45),$U45+IF($J45="",0,$J45),"")</x:f>
      </x:c>
      <x:c r="W45" s="337"/>
      <x:c r="X45" s="338" t="str">
        <x:f>IF(COUNTA($B45:$K45)+COUNTA($Q45:$T45)+COUNTA($W45)=0,"",IF($B45="","FALTA ID",IF(COUNTIF($B$19:$B$118,$B45)&gt;1,"ID REPETIDO",IF($E45="","FALTA DESCRIPCIÓN",IF($K45="","FALTA TIPO",IF(AND($K45&lt;&gt;"A",$J45=""),"FALTA TIEMPO",IF(AND($K45="T",OR($G45="",$H45="",$I45="")),"REVISAR TRANSPORTE",IF($U45="REVISAR","REVISAR PRECEDENCIA","OK"))))))))</x:f>
      </x:c>
    </x:row>
    <x:row r="46" ht="24" customHeight="1">
      <x:c r="A46" s="326" t="str">
        <x:f>IF($E46="","",COUNTA($E$19:E46))</x:f>
      </x:c>
      <x:c r="B46" s="327"/>
      <x:c r="C46" s="327"/>
      <x:c r="D46" s="327"/>
      <x:c r="E46" s="328"/>
      <x:c r="F46" s="328"/>
      <x:c r="G46" s="328"/>
      <x:c r="H46" s="328"/>
      <x:c r="I46" s="329"/>
      <x:c r="J46" s="329"/>
      <x:c r="K46" s="327"/>
      <x:c r="L46" s="330" t="str">
        <x:f>IF($K46="O", "●", "")</x:f>
      </x:c>
      <x:c r="M46" s="331" t="str">
        <x:f>IF($K46="T", "➜", "")</x:f>
      </x:c>
      <x:c r="N46" s="332" t="str">
        <x:f>IF($K46="I", "■", "")</x:f>
      </x:c>
      <x:c r="O46" s="333" t="str">
        <x:f>IF($K46="E", "D", "")</x:f>
      </x:c>
      <x:c r="P46" s="334" t="str">
        <x:f>IF($K46="A", "▼", "")</x:f>
      </x:c>
      <x:c r="Q46" s="335"/>
      <x:c r="R46" s="335"/>
      <x:c r="S46" s="335"/>
      <x:c r="T46" s="335"/>
      <x:c r="U46" s="336" t="str">
        <x:f>IF(OR($B46="",$E46="",$K46="",AND($K46&lt;&gt;"A",$J46="")),"",IF(OR(AND($Q46&lt;&gt;"",COUNTIF($B$19:$B45,$Q46)=0),AND($R46&lt;&gt;"",COUNTIF($B$19:$B45,$R46)=0),AND($S46&lt;&gt;"",COUNTIF($B$19:$B45,$S46)=0),AND($T46&lt;&gt;"",COUNTIF($B$19:$B45,$T46)=0)),"REVISAR",MAX(IFERROR(INDEX($V$19:$V45,MATCH($Q46,$B$19:$B45,0)),0),IFERROR(INDEX($V$19:$V45,MATCH($R46,$B$19:$B45,0)),0),IFERROR(INDEX($V$19:$V45,MATCH($S46,$B$19:$B45,0)),0),IFERROR(INDEX($V$19:$V45,MATCH($T46,$B$19:$B45,0)),0))))</x:f>
      </x:c>
      <x:c r="V46" s="336" t="str">
        <x:f>IF(ISNUMBER($U46),$U46+IF($J46="",0,$J46),"")</x:f>
      </x:c>
      <x:c r="W46" s="337"/>
      <x:c r="X46" s="338" t="str">
        <x:f>IF(COUNTA($B46:$K46)+COUNTA($Q46:$T46)+COUNTA($W46)=0,"",IF($B46="","FALTA ID",IF(COUNTIF($B$19:$B$118,$B46)&gt;1,"ID REPETIDO",IF($E46="","FALTA DESCRIPCIÓN",IF($K46="","FALTA TIPO",IF(AND($K46&lt;&gt;"A",$J46=""),"FALTA TIEMPO",IF(AND($K46="T",OR($G46="",$H46="",$I46="")),"REVISAR TRANSPORTE",IF($U46="REVISAR","REVISAR PRECEDENCIA","OK"))))))))</x:f>
      </x:c>
    </x:row>
    <x:row r="47" ht="24" customHeight="1">
      <x:c r="A47" s="326" t="str">
        <x:f>IF($E47="","",COUNTA($E$19:E47))</x:f>
      </x:c>
      <x:c r="B47" s="327"/>
      <x:c r="C47" s="327"/>
      <x:c r="D47" s="327"/>
      <x:c r="E47" s="328"/>
      <x:c r="F47" s="328"/>
      <x:c r="G47" s="328"/>
      <x:c r="H47" s="328"/>
      <x:c r="I47" s="329"/>
      <x:c r="J47" s="329"/>
      <x:c r="K47" s="327"/>
      <x:c r="L47" s="330" t="str">
        <x:f>IF($K47="O", "●", "")</x:f>
      </x:c>
      <x:c r="M47" s="331" t="str">
        <x:f>IF($K47="T", "➜", "")</x:f>
      </x:c>
      <x:c r="N47" s="332" t="str">
        <x:f>IF($K47="I", "■", "")</x:f>
      </x:c>
      <x:c r="O47" s="333" t="str">
        <x:f>IF($K47="E", "D", "")</x:f>
      </x:c>
      <x:c r="P47" s="334" t="str">
        <x:f>IF($K47="A", "▼", "")</x:f>
      </x:c>
      <x:c r="Q47" s="335"/>
      <x:c r="R47" s="335"/>
      <x:c r="S47" s="335"/>
      <x:c r="T47" s="335"/>
      <x:c r="U47" s="336" t="str">
        <x:f>IF(OR($B47="",$E47="",$K47="",AND($K47&lt;&gt;"A",$J47="")),"",IF(OR(AND($Q47&lt;&gt;"",COUNTIF($B$19:$B46,$Q47)=0),AND($R47&lt;&gt;"",COUNTIF($B$19:$B46,$R47)=0),AND($S47&lt;&gt;"",COUNTIF($B$19:$B46,$S47)=0),AND($T47&lt;&gt;"",COUNTIF($B$19:$B46,$T47)=0)),"REVISAR",MAX(IFERROR(INDEX($V$19:$V46,MATCH($Q47,$B$19:$B46,0)),0),IFERROR(INDEX($V$19:$V46,MATCH($R47,$B$19:$B46,0)),0),IFERROR(INDEX($V$19:$V46,MATCH($S47,$B$19:$B46,0)),0),IFERROR(INDEX($V$19:$V46,MATCH($T47,$B$19:$B46,0)),0))))</x:f>
      </x:c>
      <x:c r="V47" s="336" t="str">
        <x:f>IF(ISNUMBER($U47),$U47+IF($J47="",0,$J47),"")</x:f>
      </x:c>
      <x:c r="W47" s="337"/>
      <x:c r="X47" s="338" t="str">
        <x:f>IF(COUNTA($B47:$K47)+COUNTA($Q47:$T47)+COUNTA($W47)=0,"",IF($B47="","FALTA ID",IF(COUNTIF($B$19:$B$118,$B47)&gt;1,"ID REPETIDO",IF($E47="","FALTA DESCRIPCIÓN",IF($K47="","FALTA TIPO",IF(AND($K47&lt;&gt;"A",$J47=""),"FALTA TIEMPO",IF(AND($K47="T",OR($G47="",$H47="",$I47="")),"REVISAR TRANSPORTE",IF($U47="REVISAR","REVISAR PRECEDENCIA","OK"))))))))</x:f>
      </x:c>
    </x:row>
    <x:row r="48" ht="24" customHeight="1">
      <x:c r="A48" s="326" t="str">
        <x:f>IF($E48="","",COUNTA($E$19:E48))</x:f>
      </x:c>
      <x:c r="B48" s="327"/>
      <x:c r="C48" s="327"/>
      <x:c r="D48" s="327"/>
      <x:c r="E48" s="328"/>
      <x:c r="F48" s="328"/>
      <x:c r="G48" s="328"/>
      <x:c r="H48" s="328"/>
      <x:c r="I48" s="329"/>
      <x:c r="J48" s="329"/>
      <x:c r="K48" s="327"/>
      <x:c r="L48" s="330" t="str">
        <x:f>IF($K48="O", "●", "")</x:f>
      </x:c>
      <x:c r="M48" s="331" t="str">
        <x:f>IF($K48="T", "➜", "")</x:f>
      </x:c>
      <x:c r="N48" s="332" t="str">
        <x:f>IF($K48="I", "■", "")</x:f>
      </x:c>
      <x:c r="O48" s="333" t="str">
        <x:f>IF($K48="E", "D", "")</x:f>
      </x:c>
      <x:c r="P48" s="334" t="str">
        <x:f>IF($K48="A", "▼", "")</x:f>
      </x:c>
      <x:c r="Q48" s="335"/>
      <x:c r="R48" s="335"/>
      <x:c r="S48" s="335"/>
      <x:c r="T48" s="335"/>
      <x:c r="U48" s="336" t="str">
        <x:f>IF(OR($B48="",$E48="",$K48="",AND($K48&lt;&gt;"A",$J48="")),"",IF(OR(AND($Q48&lt;&gt;"",COUNTIF($B$19:$B47,$Q48)=0),AND($R48&lt;&gt;"",COUNTIF($B$19:$B47,$R48)=0),AND($S48&lt;&gt;"",COUNTIF($B$19:$B47,$S48)=0),AND($T48&lt;&gt;"",COUNTIF($B$19:$B47,$T48)=0)),"REVISAR",MAX(IFERROR(INDEX($V$19:$V47,MATCH($Q48,$B$19:$B47,0)),0),IFERROR(INDEX($V$19:$V47,MATCH($R48,$B$19:$B47,0)),0),IFERROR(INDEX($V$19:$V47,MATCH($S48,$B$19:$B47,0)),0),IFERROR(INDEX($V$19:$V47,MATCH($T48,$B$19:$B47,0)),0))))</x:f>
      </x:c>
      <x:c r="V48" s="336" t="str">
        <x:f>IF(ISNUMBER($U48),$U48+IF($J48="",0,$J48),"")</x:f>
      </x:c>
      <x:c r="W48" s="337"/>
      <x:c r="X48" s="338" t="str">
        <x:f>IF(COUNTA($B48:$K48)+COUNTA($Q48:$T48)+COUNTA($W48)=0,"",IF($B48="","FALTA ID",IF(COUNTIF($B$19:$B$118,$B48)&gt;1,"ID REPETIDO",IF($E48="","FALTA DESCRIPCIÓN",IF($K48="","FALTA TIPO",IF(AND($K48&lt;&gt;"A",$J48=""),"FALTA TIEMPO",IF(AND($K48="T",OR($G48="",$H48="",$I48="")),"REVISAR TRANSPORTE",IF($U48="REVISAR","REVISAR PRECEDENCIA","OK"))))))))</x:f>
      </x:c>
    </x:row>
    <x:row r="49" ht="24" customHeight="1">
      <x:c r="A49" s="326" t="str">
        <x:f>IF($E49="","",COUNTA($E$19:E49))</x:f>
      </x:c>
      <x:c r="B49" s="327"/>
      <x:c r="C49" s="327"/>
      <x:c r="D49" s="327"/>
      <x:c r="E49" s="328"/>
      <x:c r="F49" s="328"/>
      <x:c r="G49" s="328"/>
      <x:c r="H49" s="328"/>
      <x:c r="I49" s="329"/>
      <x:c r="J49" s="329"/>
      <x:c r="K49" s="327"/>
      <x:c r="L49" s="330" t="str">
        <x:f>IF($K49="O", "●", "")</x:f>
      </x:c>
      <x:c r="M49" s="331" t="str">
        <x:f>IF($K49="T", "➜", "")</x:f>
      </x:c>
      <x:c r="N49" s="332" t="str">
        <x:f>IF($K49="I", "■", "")</x:f>
      </x:c>
      <x:c r="O49" s="333" t="str">
        <x:f>IF($K49="E", "D", "")</x:f>
      </x:c>
      <x:c r="P49" s="334" t="str">
        <x:f>IF($K49="A", "▼", "")</x:f>
      </x:c>
      <x:c r="Q49" s="335"/>
      <x:c r="R49" s="335"/>
      <x:c r="S49" s="335"/>
      <x:c r="T49" s="335"/>
      <x:c r="U49" s="336" t="str">
        <x:f>IF(OR($B49="",$E49="",$K49="",AND($K49&lt;&gt;"A",$J49="")),"",IF(OR(AND($Q49&lt;&gt;"",COUNTIF($B$19:$B48,$Q49)=0),AND($R49&lt;&gt;"",COUNTIF($B$19:$B48,$R49)=0),AND($S49&lt;&gt;"",COUNTIF($B$19:$B48,$S49)=0),AND($T49&lt;&gt;"",COUNTIF($B$19:$B48,$T49)=0)),"REVISAR",MAX(IFERROR(INDEX($V$19:$V48,MATCH($Q49,$B$19:$B48,0)),0),IFERROR(INDEX($V$19:$V48,MATCH($R49,$B$19:$B48,0)),0),IFERROR(INDEX($V$19:$V48,MATCH($S49,$B$19:$B48,0)),0),IFERROR(INDEX($V$19:$V48,MATCH($T49,$B$19:$B48,0)),0))))</x:f>
      </x:c>
      <x:c r="V49" s="336" t="str">
        <x:f>IF(ISNUMBER($U49),$U49+IF($J49="",0,$J49),"")</x:f>
      </x:c>
      <x:c r="W49" s="337"/>
      <x:c r="X49" s="338" t="str">
        <x:f>IF(COUNTA($B49:$K49)+COUNTA($Q49:$T49)+COUNTA($W49)=0,"",IF($B49="","FALTA ID",IF(COUNTIF($B$19:$B$118,$B49)&gt;1,"ID REPETIDO",IF($E49="","FALTA DESCRIPCIÓN",IF($K49="","FALTA TIPO",IF(AND($K49&lt;&gt;"A",$J49=""),"FALTA TIEMPO",IF(AND($K49="T",OR($G49="",$H49="",$I49="")),"REVISAR TRANSPORTE",IF($U49="REVISAR","REVISAR PRECEDENCIA","OK"))))))))</x:f>
      </x:c>
    </x:row>
    <x:row r="50" ht="24" customHeight="1">
      <x:c r="A50" s="326" t="str">
        <x:f>IF($E50="","",COUNTA($E$19:E50))</x:f>
      </x:c>
      <x:c r="B50" s="327"/>
      <x:c r="C50" s="327"/>
      <x:c r="D50" s="327"/>
      <x:c r="E50" s="328"/>
      <x:c r="F50" s="328"/>
      <x:c r="G50" s="328"/>
      <x:c r="H50" s="328"/>
      <x:c r="I50" s="329"/>
      <x:c r="J50" s="329"/>
      <x:c r="K50" s="327"/>
      <x:c r="L50" s="330" t="str">
        <x:f>IF($K50="O", "●", "")</x:f>
      </x:c>
      <x:c r="M50" s="331" t="str">
        <x:f>IF($K50="T", "➜", "")</x:f>
      </x:c>
      <x:c r="N50" s="332" t="str">
        <x:f>IF($K50="I", "■", "")</x:f>
      </x:c>
      <x:c r="O50" s="333" t="str">
        <x:f>IF($K50="E", "D", "")</x:f>
      </x:c>
      <x:c r="P50" s="334" t="str">
        <x:f>IF($K50="A", "▼", "")</x:f>
      </x:c>
      <x:c r="Q50" s="335"/>
      <x:c r="R50" s="335"/>
      <x:c r="S50" s="335"/>
      <x:c r="T50" s="335"/>
      <x:c r="U50" s="336" t="str">
        <x:f>IF(OR($B50="",$E50="",$K50="",AND($K50&lt;&gt;"A",$J50="")),"",IF(OR(AND($Q50&lt;&gt;"",COUNTIF($B$19:$B49,$Q50)=0),AND($R50&lt;&gt;"",COUNTIF($B$19:$B49,$R50)=0),AND($S50&lt;&gt;"",COUNTIF($B$19:$B49,$S50)=0),AND($T50&lt;&gt;"",COUNTIF($B$19:$B49,$T50)=0)),"REVISAR",MAX(IFERROR(INDEX($V$19:$V49,MATCH($Q50,$B$19:$B49,0)),0),IFERROR(INDEX($V$19:$V49,MATCH($R50,$B$19:$B49,0)),0),IFERROR(INDEX($V$19:$V49,MATCH($S50,$B$19:$B49,0)),0),IFERROR(INDEX($V$19:$V49,MATCH($T50,$B$19:$B49,0)),0))))</x:f>
      </x:c>
      <x:c r="V50" s="336" t="str">
        <x:f>IF(ISNUMBER($U50),$U50+IF($J50="",0,$J50),"")</x:f>
      </x:c>
      <x:c r="W50" s="337"/>
      <x:c r="X50" s="338" t="str">
        <x:f>IF(COUNTA($B50:$K50)+COUNTA($Q50:$T50)+COUNTA($W50)=0,"",IF($B50="","FALTA ID",IF(COUNTIF($B$19:$B$118,$B50)&gt;1,"ID REPETIDO",IF($E50="","FALTA DESCRIPCIÓN",IF($K50="","FALTA TIPO",IF(AND($K50&lt;&gt;"A",$J50=""),"FALTA TIEMPO",IF(AND($K50="T",OR($G50="",$H50="",$I50="")),"REVISAR TRANSPORTE",IF($U50="REVISAR","REVISAR PRECEDENCIA","OK"))))))))</x:f>
      </x:c>
    </x:row>
    <x:row r="51" ht="24" customHeight="1">
      <x:c r="A51" s="326" t="str">
        <x:f>IF($E51="","",COUNTA($E$19:E51))</x:f>
      </x:c>
      <x:c r="B51" s="327"/>
      <x:c r="C51" s="327"/>
      <x:c r="D51" s="327"/>
      <x:c r="E51" s="328"/>
      <x:c r="F51" s="328"/>
      <x:c r="G51" s="328"/>
      <x:c r="H51" s="328"/>
      <x:c r="I51" s="329"/>
      <x:c r="J51" s="329"/>
      <x:c r="K51" s="327"/>
      <x:c r="L51" s="330" t="str">
        <x:f>IF($K51="O", "●", "")</x:f>
      </x:c>
      <x:c r="M51" s="331" t="str">
        <x:f>IF($K51="T", "➜", "")</x:f>
      </x:c>
      <x:c r="N51" s="332" t="str">
        <x:f>IF($K51="I", "■", "")</x:f>
      </x:c>
      <x:c r="O51" s="333" t="str">
        <x:f>IF($K51="E", "D", "")</x:f>
      </x:c>
      <x:c r="P51" s="334" t="str">
        <x:f>IF($K51="A", "▼", "")</x:f>
      </x:c>
      <x:c r="Q51" s="335"/>
      <x:c r="R51" s="335"/>
      <x:c r="S51" s="335"/>
      <x:c r="T51" s="335"/>
      <x:c r="U51" s="336" t="str">
        <x:f>IF(OR($B51="",$E51="",$K51="",AND($K51&lt;&gt;"A",$J51="")),"",IF(OR(AND($Q51&lt;&gt;"",COUNTIF($B$19:$B50,$Q51)=0),AND($R51&lt;&gt;"",COUNTIF($B$19:$B50,$R51)=0),AND($S51&lt;&gt;"",COUNTIF($B$19:$B50,$S51)=0),AND($T51&lt;&gt;"",COUNTIF($B$19:$B50,$T51)=0)),"REVISAR",MAX(IFERROR(INDEX($V$19:$V50,MATCH($Q51,$B$19:$B50,0)),0),IFERROR(INDEX($V$19:$V50,MATCH($R51,$B$19:$B50,0)),0),IFERROR(INDEX($V$19:$V50,MATCH($S51,$B$19:$B50,0)),0),IFERROR(INDEX($V$19:$V50,MATCH($T51,$B$19:$B50,0)),0))))</x:f>
      </x:c>
      <x:c r="V51" s="336" t="str">
        <x:f>IF(ISNUMBER($U51),$U51+IF($J51="",0,$J51),"")</x:f>
      </x:c>
      <x:c r="W51" s="337"/>
      <x:c r="X51" s="338" t="str">
        <x:f>IF(COUNTA($B51:$K51)+COUNTA($Q51:$T51)+COUNTA($W51)=0,"",IF($B51="","FALTA ID",IF(COUNTIF($B$19:$B$118,$B51)&gt;1,"ID REPETIDO",IF($E51="","FALTA DESCRIPCIÓN",IF($K51="","FALTA TIPO",IF(AND($K51&lt;&gt;"A",$J51=""),"FALTA TIEMPO",IF(AND($K51="T",OR($G51="",$H51="",$I51="")),"REVISAR TRANSPORTE",IF($U51="REVISAR","REVISAR PRECEDENCIA","OK"))))))))</x:f>
      </x:c>
    </x:row>
    <x:row r="52" ht="24" customHeight="1">
      <x:c r="A52" s="326" t="str">
        <x:f>IF($E52="","",COUNTA($E$19:E52))</x:f>
      </x:c>
      <x:c r="B52" s="327"/>
      <x:c r="C52" s="327"/>
      <x:c r="D52" s="327"/>
      <x:c r="E52" s="328"/>
      <x:c r="F52" s="328"/>
      <x:c r="G52" s="328"/>
      <x:c r="H52" s="328"/>
      <x:c r="I52" s="329"/>
      <x:c r="J52" s="329"/>
      <x:c r="K52" s="327"/>
      <x:c r="L52" s="330" t="str">
        <x:f>IF($K52="O", "●", "")</x:f>
      </x:c>
      <x:c r="M52" s="331" t="str">
        <x:f>IF($K52="T", "➜", "")</x:f>
      </x:c>
      <x:c r="N52" s="332" t="str">
        <x:f>IF($K52="I", "■", "")</x:f>
      </x:c>
      <x:c r="O52" s="333" t="str">
        <x:f>IF($K52="E", "D", "")</x:f>
      </x:c>
      <x:c r="P52" s="334" t="str">
        <x:f>IF($K52="A", "▼", "")</x:f>
      </x:c>
      <x:c r="Q52" s="335"/>
      <x:c r="R52" s="335"/>
      <x:c r="S52" s="335"/>
      <x:c r="T52" s="335"/>
      <x:c r="U52" s="336" t="str">
        <x:f>IF(OR($B52="",$E52="",$K52="",AND($K52&lt;&gt;"A",$J52="")),"",IF(OR(AND($Q52&lt;&gt;"",COUNTIF($B$19:$B51,$Q52)=0),AND($R52&lt;&gt;"",COUNTIF($B$19:$B51,$R52)=0),AND($S52&lt;&gt;"",COUNTIF($B$19:$B51,$S52)=0),AND($T52&lt;&gt;"",COUNTIF($B$19:$B51,$T52)=0)),"REVISAR",MAX(IFERROR(INDEX($V$19:$V51,MATCH($Q52,$B$19:$B51,0)),0),IFERROR(INDEX($V$19:$V51,MATCH($R52,$B$19:$B51,0)),0),IFERROR(INDEX($V$19:$V51,MATCH($S52,$B$19:$B51,0)),0),IFERROR(INDEX($V$19:$V51,MATCH($T52,$B$19:$B51,0)),0))))</x:f>
      </x:c>
      <x:c r="V52" s="336" t="str">
        <x:f>IF(ISNUMBER($U52),$U52+IF($J52="",0,$J52),"")</x:f>
      </x:c>
      <x:c r="W52" s="337"/>
      <x:c r="X52" s="338" t="str">
        <x:f>IF(COUNTA($B52:$K52)+COUNTA($Q52:$T52)+COUNTA($W52)=0,"",IF($B52="","FALTA ID",IF(COUNTIF($B$19:$B$118,$B52)&gt;1,"ID REPETIDO",IF($E52="","FALTA DESCRIPCIÓN",IF($K52="","FALTA TIPO",IF(AND($K52&lt;&gt;"A",$J52=""),"FALTA TIEMPO",IF(AND($K52="T",OR($G52="",$H52="",$I52="")),"REVISAR TRANSPORTE",IF($U52="REVISAR","REVISAR PRECEDENCIA","OK"))))))))</x:f>
      </x:c>
    </x:row>
    <x:row r="53" ht="24" customHeight="1">
      <x:c r="A53" s="326" t="str">
        <x:f>IF($E53="","",COUNTA($E$19:E53))</x:f>
      </x:c>
      <x:c r="B53" s="327"/>
      <x:c r="C53" s="327"/>
      <x:c r="D53" s="327"/>
      <x:c r="E53" s="328"/>
      <x:c r="F53" s="328"/>
      <x:c r="G53" s="328"/>
      <x:c r="H53" s="328"/>
      <x:c r="I53" s="329"/>
      <x:c r="J53" s="329"/>
      <x:c r="K53" s="327"/>
      <x:c r="L53" s="330" t="str">
        <x:f>IF($K53="O", "●", "")</x:f>
      </x:c>
      <x:c r="M53" s="331" t="str">
        <x:f>IF($K53="T", "➜", "")</x:f>
      </x:c>
      <x:c r="N53" s="332" t="str">
        <x:f>IF($K53="I", "■", "")</x:f>
      </x:c>
      <x:c r="O53" s="333" t="str">
        <x:f>IF($K53="E", "D", "")</x:f>
      </x:c>
      <x:c r="P53" s="334" t="str">
        <x:f>IF($K53="A", "▼", "")</x:f>
      </x:c>
      <x:c r="Q53" s="335"/>
      <x:c r="R53" s="335"/>
      <x:c r="S53" s="335"/>
      <x:c r="T53" s="335"/>
      <x:c r="U53" s="336" t="str">
        <x:f>IF(OR($B53="",$E53="",$K53="",AND($K53&lt;&gt;"A",$J53="")),"",IF(OR(AND($Q53&lt;&gt;"",COUNTIF($B$19:$B52,$Q53)=0),AND($R53&lt;&gt;"",COUNTIF($B$19:$B52,$R53)=0),AND($S53&lt;&gt;"",COUNTIF($B$19:$B52,$S53)=0),AND($T53&lt;&gt;"",COUNTIF($B$19:$B52,$T53)=0)),"REVISAR",MAX(IFERROR(INDEX($V$19:$V52,MATCH($Q53,$B$19:$B52,0)),0),IFERROR(INDEX($V$19:$V52,MATCH($R53,$B$19:$B52,0)),0),IFERROR(INDEX($V$19:$V52,MATCH($S53,$B$19:$B52,0)),0),IFERROR(INDEX($V$19:$V52,MATCH($T53,$B$19:$B52,0)),0))))</x:f>
      </x:c>
      <x:c r="V53" s="336" t="str">
        <x:f>IF(ISNUMBER($U53),$U53+IF($J53="",0,$J53),"")</x:f>
      </x:c>
      <x:c r="W53" s="337"/>
      <x:c r="X53" s="338" t="str">
        <x:f>IF(COUNTA($B53:$K53)+COUNTA($Q53:$T53)+COUNTA($W53)=0,"",IF($B53="","FALTA ID",IF(COUNTIF($B$19:$B$118,$B53)&gt;1,"ID REPETIDO",IF($E53="","FALTA DESCRIPCIÓN",IF($K53="","FALTA TIPO",IF(AND($K53&lt;&gt;"A",$J53=""),"FALTA TIEMPO",IF(AND($K53="T",OR($G53="",$H53="",$I53="")),"REVISAR TRANSPORTE",IF($U53="REVISAR","REVISAR PRECEDENCIA","OK"))))))))</x:f>
      </x:c>
    </x:row>
    <x:row r="54" ht="24" customHeight="1">
      <x:c r="A54" s="326" t="str">
        <x:f>IF($E54="","",COUNTA($E$19:E54))</x:f>
      </x:c>
      <x:c r="B54" s="327"/>
      <x:c r="C54" s="327"/>
      <x:c r="D54" s="327"/>
      <x:c r="E54" s="328"/>
      <x:c r="F54" s="328"/>
      <x:c r="G54" s="328"/>
      <x:c r="H54" s="328"/>
      <x:c r="I54" s="329"/>
      <x:c r="J54" s="329"/>
      <x:c r="K54" s="327"/>
      <x:c r="L54" s="330" t="str">
        <x:f>IF($K54="O", "●", "")</x:f>
      </x:c>
      <x:c r="M54" s="331" t="str">
        <x:f>IF($K54="T", "➜", "")</x:f>
      </x:c>
      <x:c r="N54" s="332" t="str">
        <x:f>IF($K54="I", "■", "")</x:f>
      </x:c>
      <x:c r="O54" s="333" t="str">
        <x:f>IF($K54="E", "D", "")</x:f>
      </x:c>
      <x:c r="P54" s="334" t="str">
        <x:f>IF($K54="A", "▼", "")</x:f>
      </x:c>
      <x:c r="Q54" s="335"/>
      <x:c r="R54" s="335"/>
      <x:c r="S54" s="335"/>
      <x:c r="T54" s="335"/>
      <x:c r="U54" s="336" t="str">
        <x:f>IF(OR($B54="",$E54="",$K54="",AND($K54&lt;&gt;"A",$J54="")),"",IF(OR(AND($Q54&lt;&gt;"",COUNTIF($B$19:$B53,$Q54)=0),AND($R54&lt;&gt;"",COUNTIF($B$19:$B53,$R54)=0),AND($S54&lt;&gt;"",COUNTIF($B$19:$B53,$S54)=0),AND($T54&lt;&gt;"",COUNTIF($B$19:$B53,$T54)=0)),"REVISAR",MAX(IFERROR(INDEX($V$19:$V53,MATCH($Q54,$B$19:$B53,0)),0),IFERROR(INDEX($V$19:$V53,MATCH($R54,$B$19:$B53,0)),0),IFERROR(INDEX($V$19:$V53,MATCH($S54,$B$19:$B53,0)),0),IFERROR(INDEX($V$19:$V53,MATCH($T54,$B$19:$B53,0)),0))))</x:f>
      </x:c>
      <x:c r="V54" s="336" t="str">
        <x:f>IF(ISNUMBER($U54),$U54+IF($J54="",0,$J54),"")</x:f>
      </x:c>
      <x:c r="W54" s="337"/>
      <x:c r="X54" s="338" t="str">
        <x:f>IF(COUNTA($B54:$K54)+COUNTA($Q54:$T54)+COUNTA($W54)=0,"",IF($B54="","FALTA ID",IF(COUNTIF($B$19:$B$118,$B54)&gt;1,"ID REPETIDO",IF($E54="","FALTA DESCRIPCIÓN",IF($K54="","FALTA TIPO",IF(AND($K54&lt;&gt;"A",$J54=""),"FALTA TIEMPO",IF(AND($K54="T",OR($G54="",$H54="",$I54="")),"REVISAR TRANSPORTE",IF($U54="REVISAR","REVISAR PRECEDENCIA","OK"))))))))</x:f>
      </x:c>
    </x:row>
    <x:row r="55" ht="24" customHeight="1">
      <x:c r="A55" s="326" t="str">
        <x:f>IF($E55="","",COUNTA($E$19:E55))</x:f>
      </x:c>
      <x:c r="B55" s="327"/>
      <x:c r="C55" s="327"/>
      <x:c r="D55" s="327"/>
      <x:c r="E55" s="328"/>
      <x:c r="F55" s="328"/>
      <x:c r="G55" s="328"/>
      <x:c r="H55" s="328"/>
      <x:c r="I55" s="329"/>
      <x:c r="J55" s="329"/>
      <x:c r="K55" s="327"/>
      <x:c r="L55" s="330" t="str">
        <x:f>IF($K55="O", "●", "")</x:f>
      </x:c>
      <x:c r="M55" s="331" t="str">
        <x:f>IF($K55="T", "➜", "")</x:f>
      </x:c>
      <x:c r="N55" s="332" t="str">
        <x:f>IF($K55="I", "■", "")</x:f>
      </x:c>
      <x:c r="O55" s="333" t="str">
        <x:f>IF($K55="E", "D", "")</x:f>
      </x:c>
      <x:c r="P55" s="334" t="str">
        <x:f>IF($K55="A", "▼", "")</x:f>
      </x:c>
      <x:c r="Q55" s="335"/>
      <x:c r="R55" s="335"/>
      <x:c r="S55" s="335"/>
      <x:c r="T55" s="335"/>
      <x:c r="U55" s="336" t="str">
        <x:f>IF(OR($B55="",$E55="",$K55="",AND($K55&lt;&gt;"A",$J55="")),"",IF(OR(AND($Q55&lt;&gt;"",COUNTIF($B$19:$B54,$Q55)=0),AND($R55&lt;&gt;"",COUNTIF($B$19:$B54,$R55)=0),AND($S55&lt;&gt;"",COUNTIF($B$19:$B54,$S55)=0),AND($T55&lt;&gt;"",COUNTIF($B$19:$B54,$T55)=0)),"REVISAR",MAX(IFERROR(INDEX($V$19:$V54,MATCH($Q55,$B$19:$B54,0)),0),IFERROR(INDEX($V$19:$V54,MATCH($R55,$B$19:$B54,0)),0),IFERROR(INDEX($V$19:$V54,MATCH($S55,$B$19:$B54,0)),0),IFERROR(INDEX($V$19:$V54,MATCH($T55,$B$19:$B54,0)),0))))</x:f>
      </x:c>
      <x:c r="V55" s="336" t="str">
        <x:f>IF(ISNUMBER($U55),$U55+IF($J55="",0,$J55),"")</x:f>
      </x:c>
      <x:c r="W55" s="337"/>
      <x:c r="X55" s="338" t="str">
        <x:f>IF(COUNTA($B55:$K55)+COUNTA($Q55:$T55)+COUNTA($W55)=0,"",IF($B55="","FALTA ID",IF(COUNTIF($B$19:$B$118,$B55)&gt;1,"ID REPETIDO",IF($E55="","FALTA DESCRIPCIÓN",IF($K55="","FALTA TIPO",IF(AND($K55&lt;&gt;"A",$J55=""),"FALTA TIEMPO",IF(AND($K55="T",OR($G55="",$H55="",$I55="")),"REVISAR TRANSPORTE",IF($U55="REVISAR","REVISAR PRECEDENCIA","OK"))))))))</x:f>
      </x:c>
    </x:row>
    <x:row r="56" ht="24" customHeight="1">
      <x:c r="A56" s="326" t="str">
        <x:f>IF($E56="","",COUNTA($E$19:E56))</x:f>
      </x:c>
      <x:c r="B56" s="327"/>
      <x:c r="C56" s="327"/>
      <x:c r="D56" s="327"/>
      <x:c r="E56" s="328"/>
      <x:c r="F56" s="328"/>
      <x:c r="G56" s="328"/>
      <x:c r="H56" s="328"/>
      <x:c r="I56" s="329"/>
      <x:c r="J56" s="329"/>
      <x:c r="K56" s="327"/>
      <x:c r="L56" s="330" t="str">
        <x:f>IF($K56="O", "●", "")</x:f>
      </x:c>
      <x:c r="M56" s="331" t="str">
        <x:f>IF($K56="T", "➜", "")</x:f>
      </x:c>
      <x:c r="N56" s="332" t="str">
        <x:f>IF($K56="I", "■", "")</x:f>
      </x:c>
      <x:c r="O56" s="333" t="str">
        <x:f>IF($K56="E", "D", "")</x:f>
      </x:c>
      <x:c r="P56" s="334" t="str">
        <x:f>IF($K56="A", "▼", "")</x:f>
      </x:c>
      <x:c r="Q56" s="335"/>
      <x:c r="R56" s="335"/>
      <x:c r="S56" s="335"/>
      <x:c r="T56" s="335"/>
      <x:c r="U56" s="336" t="str">
        <x:f>IF(OR($B56="",$E56="",$K56="",AND($K56&lt;&gt;"A",$J56="")),"",IF(OR(AND($Q56&lt;&gt;"",COUNTIF($B$19:$B55,$Q56)=0),AND($R56&lt;&gt;"",COUNTIF($B$19:$B55,$R56)=0),AND($S56&lt;&gt;"",COUNTIF($B$19:$B55,$S56)=0),AND($T56&lt;&gt;"",COUNTIF($B$19:$B55,$T56)=0)),"REVISAR",MAX(IFERROR(INDEX($V$19:$V55,MATCH($Q56,$B$19:$B55,0)),0),IFERROR(INDEX($V$19:$V55,MATCH($R56,$B$19:$B55,0)),0),IFERROR(INDEX($V$19:$V55,MATCH($S56,$B$19:$B55,0)),0),IFERROR(INDEX($V$19:$V55,MATCH($T56,$B$19:$B55,0)),0))))</x:f>
      </x:c>
      <x:c r="V56" s="336" t="str">
        <x:f>IF(ISNUMBER($U56),$U56+IF($J56="",0,$J56),"")</x:f>
      </x:c>
      <x:c r="W56" s="337"/>
      <x:c r="X56" s="338" t="str">
        <x:f>IF(COUNTA($B56:$K56)+COUNTA($Q56:$T56)+COUNTA($W56)=0,"",IF($B56="","FALTA ID",IF(COUNTIF($B$19:$B$118,$B56)&gt;1,"ID REPETIDO",IF($E56="","FALTA DESCRIPCIÓN",IF($K56="","FALTA TIPO",IF(AND($K56&lt;&gt;"A",$J56=""),"FALTA TIEMPO",IF(AND($K56="T",OR($G56="",$H56="",$I56="")),"REVISAR TRANSPORTE",IF($U56="REVISAR","REVISAR PRECEDENCIA","OK"))))))))</x:f>
      </x:c>
    </x:row>
    <x:row r="57" ht="24" customHeight="1">
      <x:c r="A57" s="326" t="str">
        <x:f>IF($E57="","",COUNTA($E$19:E57))</x:f>
      </x:c>
      <x:c r="B57" s="327"/>
      <x:c r="C57" s="327"/>
      <x:c r="D57" s="327"/>
      <x:c r="E57" s="328"/>
      <x:c r="F57" s="328"/>
      <x:c r="G57" s="328"/>
      <x:c r="H57" s="328"/>
      <x:c r="I57" s="329"/>
      <x:c r="J57" s="329"/>
      <x:c r="K57" s="327"/>
      <x:c r="L57" s="330" t="str">
        <x:f>IF($K57="O", "●", "")</x:f>
      </x:c>
      <x:c r="M57" s="331" t="str">
        <x:f>IF($K57="T", "➜", "")</x:f>
      </x:c>
      <x:c r="N57" s="332" t="str">
        <x:f>IF($K57="I", "■", "")</x:f>
      </x:c>
      <x:c r="O57" s="333" t="str">
        <x:f>IF($K57="E", "D", "")</x:f>
      </x:c>
      <x:c r="P57" s="334" t="str">
        <x:f>IF($K57="A", "▼", "")</x:f>
      </x:c>
      <x:c r="Q57" s="335"/>
      <x:c r="R57" s="335"/>
      <x:c r="S57" s="335"/>
      <x:c r="T57" s="335"/>
      <x:c r="U57" s="336" t="str">
        <x:f>IF(OR($B57="",$E57="",$K57="",AND($K57&lt;&gt;"A",$J57="")),"",IF(OR(AND($Q57&lt;&gt;"",COUNTIF($B$19:$B56,$Q57)=0),AND($R57&lt;&gt;"",COUNTIF($B$19:$B56,$R57)=0),AND($S57&lt;&gt;"",COUNTIF($B$19:$B56,$S57)=0),AND($T57&lt;&gt;"",COUNTIF($B$19:$B56,$T57)=0)),"REVISAR",MAX(IFERROR(INDEX($V$19:$V56,MATCH($Q57,$B$19:$B56,0)),0),IFERROR(INDEX($V$19:$V56,MATCH($R57,$B$19:$B56,0)),0),IFERROR(INDEX($V$19:$V56,MATCH($S57,$B$19:$B56,0)),0),IFERROR(INDEX($V$19:$V56,MATCH($T57,$B$19:$B56,0)),0))))</x:f>
      </x:c>
      <x:c r="V57" s="336" t="str">
        <x:f>IF(ISNUMBER($U57),$U57+IF($J57="",0,$J57),"")</x:f>
      </x:c>
      <x:c r="W57" s="337"/>
      <x:c r="X57" s="338" t="str">
        <x:f>IF(COUNTA($B57:$K57)+COUNTA($Q57:$T57)+COUNTA($W57)=0,"",IF($B57="","FALTA ID",IF(COUNTIF($B$19:$B$118,$B57)&gt;1,"ID REPETIDO",IF($E57="","FALTA DESCRIPCIÓN",IF($K57="","FALTA TIPO",IF(AND($K57&lt;&gt;"A",$J57=""),"FALTA TIEMPO",IF(AND($K57="T",OR($G57="",$H57="",$I57="")),"REVISAR TRANSPORTE",IF($U57="REVISAR","REVISAR PRECEDENCIA","OK"))))))))</x:f>
      </x:c>
    </x:row>
    <x:row r="58" ht="24" customHeight="1">
      <x:c r="A58" s="326" t="str">
        <x:f>IF($E58="","",COUNTA($E$19:E58))</x:f>
      </x:c>
      <x:c r="B58" s="327"/>
      <x:c r="C58" s="327"/>
      <x:c r="D58" s="327"/>
      <x:c r="E58" s="328"/>
      <x:c r="F58" s="328"/>
      <x:c r="G58" s="328"/>
      <x:c r="H58" s="328"/>
      <x:c r="I58" s="329"/>
      <x:c r="J58" s="329"/>
      <x:c r="K58" s="327"/>
      <x:c r="L58" s="330" t="str">
        <x:f>IF($K58="O", "●", "")</x:f>
      </x:c>
      <x:c r="M58" s="331" t="str">
        <x:f>IF($K58="T", "➜", "")</x:f>
      </x:c>
      <x:c r="N58" s="332" t="str">
        <x:f>IF($K58="I", "■", "")</x:f>
      </x:c>
      <x:c r="O58" s="333" t="str">
        <x:f>IF($K58="E", "D", "")</x:f>
      </x:c>
      <x:c r="P58" s="334" t="str">
        <x:f>IF($K58="A", "▼", "")</x:f>
      </x:c>
      <x:c r="Q58" s="335"/>
      <x:c r="R58" s="335"/>
      <x:c r="S58" s="335"/>
      <x:c r="T58" s="335"/>
      <x:c r="U58" s="336" t="str">
        <x:f>IF(OR($B58="",$E58="",$K58="",AND($K58&lt;&gt;"A",$J58="")),"",IF(OR(AND($Q58&lt;&gt;"",COUNTIF($B$19:$B57,$Q58)=0),AND($R58&lt;&gt;"",COUNTIF($B$19:$B57,$R58)=0),AND($S58&lt;&gt;"",COUNTIF($B$19:$B57,$S58)=0),AND($T58&lt;&gt;"",COUNTIF($B$19:$B57,$T58)=0)),"REVISAR",MAX(IFERROR(INDEX($V$19:$V57,MATCH($Q58,$B$19:$B57,0)),0),IFERROR(INDEX($V$19:$V57,MATCH($R58,$B$19:$B57,0)),0),IFERROR(INDEX($V$19:$V57,MATCH($S58,$B$19:$B57,0)),0),IFERROR(INDEX($V$19:$V57,MATCH($T58,$B$19:$B57,0)),0))))</x:f>
      </x:c>
      <x:c r="V58" s="336" t="str">
        <x:f>IF(ISNUMBER($U58),$U58+IF($J58="",0,$J58),"")</x:f>
      </x:c>
      <x:c r="W58" s="337"/>
      <x:c r="X58" s="338" t="str">
        <x:f>IF(COUNTA($B58:$K58)+COUNTA($Q58:$T58)+COUNTA($W58)=0,"",IF($B58="","FALTA ID",IF(COUNTIF($B$19:$B$118,$B58)&gt;1,"ID REPETIDO",IF($E58="","FALTA DESCRIPCIÓN",IF($K58="","FALTA TIPO",IF(AND($K58&lt;&gt;"A",$J58=""),"FALTA TIEMPO",IF(AND($K58="T",OR($G58="",$H58="",$I58="")),"REVISAR TRANSPORTE",IF($U58="REVISAR","REVISAR PRECEDENCIA","OK"))))))))</x:f>
      </x:c>
    </x:row>
    <x:row r="59" ht="24" customHeight="1">
      <x:c r="A59" s="326" t="str">
        <x:f>IF($E59="","",COUNTA($E$19:E59))</x:f>
      </x:c>
      <x:c r="B59" s="327"/>
      <x:c r="C59" s="327"/>
      <x:c r="D59" s="327"/>
      <x:c r="E59" s="328"/>
      <x:c r="F59" s="328"/>
      <x:c r="G59" s="328"/>
      <x:c r="H59" s="328"/>
      <x:c r="I59" s="329"/>
      <x:c r="J59" s="329"/>
      <x:c r="K59" s="327"/>
      <x:c r="L59" s="330" t="str">
        <x:f>IF($K59="O", "●", "")</x:f>
      </x:c>
      <x:c r="M59" s="331" t="str">
        <x:f>IF($K59="T", "➜", "")</x:f>
      </x:c>
      <x:c r="N59" s="332" t="str">
        <x:f>IF($K59="I", "■", "")</x:f>
      </x:c>
      <x:c r="O59" s="333" t="str">
        <x:f>IF($K59="E", "D", "")</x:f>
      </x:c>
      <x:c r="P59" s="334" t="str">
        <x:f>IF($K59="A", "▼", "")</x:f>
      </x:c>
      <x:c r="Q59" s="335"/>
      <x:c r="R59" s="335"/>
      <x:c r="S59" s="335"/>
      <x:c r="T59" s="335"/>
      <x:c r="U59" s="336" t="str">
        <x:f>IF(OR($B59="",$E59="",$K59="",AND($K59&lt;&gt;"A",$J59="")),"",IF(OR(AND($Q59&lt;&gt;"",COUNTIF($B$19:$B58,$Q59)=0),AND($R59&lt;&gt;"",COUNTIF($B$19:$B58,$R59)=0),AND($S59&lt;&gt;"",COUNTIF($B$19:$B58,$S59)=0),AND($T59&lt;&gt;"",COUNTIF($B$19:$B58,$T59)=0)),"REVISAR",MAX(IFERROR(INDEX($V$19:$V58,MATCH($Q59,$B$19:$B58,0)),0),IFERROR(INDEX($V$19:$V58,MATCH($R59,$B$19:$B58,0)),0),IFERROR(INDEX($V$19:$V58,MATCH($S59,$B$19:$B58,0)),0),IFERROR(INDEX($V$19:$V58,MATCH($T59,$B$19:$B58,0)),0))))</x:f>
      </x:c>
      <x:c r="V59" s="336" t="str">
        <x:f>IF(ISNUMBER($U59),$U59+IF($J59="",0,$J59),"")</x:f>
      </x:c>
      <x:c r="W59" s="337"/>
      <x:c r="X59" s="338" t="str">
        <x:f>IF(COUNTA($B59:$K59)+COUNTA($Q59:$T59)+COUNTA($W59)=0,"",IF($B59="","FALTA ID",IF(COUNTIF($B$19:$B$118,$B59)&gt;1,"ID REPETIDO",IF($E59="","FALTA DESCRIPCIÓN",IF($K59="","FALTA TIPO",IF(AND($K59&lt;&gt;"A",$J59=""),"FALTA TIEMPO",IF(AND($K59="T",OR($G59="",$H59="",$I59="")),"REVISAR TRANSPORTE",IF($U59="REVISAR","REVISAR PRECEDENCIA","OK"))))))))</x:f>
      </x:c>
    </x:row>
    <x:row r="60" ht="24" customHeight="1">
      <x:c r="A60" s="326" t="str">
        <x:f>IF($E60="","",COUNTA($E$19:E60))</x:f>
      </x:c>
      <x:c r="B60" s="327"/>
      <x:c r="C60" s="327"/>
      <x:c r="D60" s="327"/>
      <x:c r="E60" s="328"/>
      <x:c r="F60" s="328"/>
      <x:c r="G60" s="328"/>
      <x:c r="H60" s="328"/>
      <x:c r="I60" s="329"/>
      <x:c r="J60" s="329"/>
      <x:c r="K60" s="327"/>
      <x:c r="L60" s="330" t="str">
        <x:f>IF($K60="O", "●", "")</x:f>
      </x:c>
      <x:c r="M60" s="331" t="str">
        <x:f>IF($K60="T", "➜", "")</x:f>
      </x:c>
      <x:c r="N60" s="332" t="str">
        <x:f>IF($K60="I", "■", "")</x:f>
      </x:c>
      <x:c r="O60" s="333" t="str">
        <x:f>IF($K60="E", "D", "")</x:f>
      </x:c>
      <x:c r="P60" s="334" t="str">
        <x:f>IF($K60="A", "▼", "")</x:f>
      </x:c>
      <x:c r="Q60" s="335"/>
      <x:c r="R60" s="335"/>
      <x:c r="S60" s="335"/>
      <x:c r="T60" s="335"/>
      <x:c r="U60" s="336" t="str">
        <x:f>IF(OR($B60="",$E60="",$K60="",AND($K60&lt;&gt;"A",$J60="")),"",IF(OR(AND($Q60&lt;&gt;"",COUNTIF($B$19:$B59,$Q60)=0),AND($R60&lt;&gt;"",COUNTIF($B$19:$B59,$R60)=0),AND($S60&lt;&gt;"",COUNTIF($B$19:$B59,$S60)=0),AND($T60&lt;&gt;"",COUNTIF($B$19:$B59,$T60)=0)),"REVISAR",MAX(IFERROR(INDEX($V$19:$V59,MATCH($Q60,$B$19:$B59,0)),0),IFERROR(INDEX($V$19:$V59,MATCH($R60,$B$19:$B59,0)),0),IFERROR(INDEX($V$19:$V59,MATCH($S60,$B$19:$B59,0)),0),IFERROR(INDEX($V$19:$V59,MATCH($T60,$B$19:$B59,0)),0))))</x:f>
      </x:c>
      <x:c r="V60" s="336" t="str">
        <x:f>IF(ISNUMBER($U60),$U60+IF($J60="",0,$J60),"")</x:f>
      </x:c>
      <x:c r="W60" s="337"/>
      <x:c r="X60" s="338" t="str">
        <x:f>IF(COUNTA($B60:$K60)+COUNTA($Q60:$T60)+COUNTA($W60)=0,"",IF($B60="","FALTA ID",IF(COUNTIF($B$19:$B$118,$B60)&gt;1,"ID REPETIDO",IF($E60="","FALTA DESCRIPCIÓN",IF($K60="","FALTA TIPO",IF(AND($K60&lt;&gt;"A",$J60=""),"FALTA TIEMPO",IF(AND($K60="T",OR($G60="",$H60="",$I60="")),"REVISAR TRANSPORTE",IF($U60="REVISAR","REVISAR PRECEDENCIA","OK"))))))))</x:f>
      </x:c>
    </x:row>
    <x:row r="61" ht="24" customHeight="1">
      <x:c r="A61" s="326" t="str">
        <x:f>IF($E61="","",COUNTA($E$19:E61))</x:f>
      </x:c>
      <x:c r="B61" s="327"/>
      <x:c r="C61" s="327"/>
      <x:c r="D61" s="327"/>
      <x:c r="E61" s="328"/>
      <x:c r="F61" s="328"/>
      <x:c r="G61" s="328"/>
      <x:c r="H61" s="328"/>
      <x:c r="I61" s="329"/>
      <x:c r="J61" s="329"/>
      <x:c r="K61" s="327"/>
      <x:c r="L61" s="330" t="str">
        <x:f>IF($K61="O", "●", "")</x:f>
      </x:c>
      <x:c r="M61" s="331" t="str">
        <x:f>IF($K61="T", "➜", "")</x:f>
      </x:c>
      <x:c r="N61" s="332" t="str">
        <x:f>IF($K61="I", "■", "")</x:f>
      </x:c>
      <x:c r="O61" s="333" t="str">
        <x:f>IF($K61="E", "D", "")</x:f>
      </x:c>
      <x:c r="P61" s="334" t="str">
        <x:f>IF($K61="A", "▼", "")</x:f>
      </x:c>
      <x:c r="Q61" s="335"/>
      <x:c r="R61" s="335"/>
      <x:c r="S61" s="335"/>
      <x:c r="T61" s="335"/>
      <x:c r="U61" s="336" t="str">
        <x:f>IF(OR($B61="",$E61="",$K61="",AND($K61&lt;&gt;"A",$J61="")),"",IF(OR(AND($Q61&lt;&gt;"",COUNTIF($B$19:$B60,$Q61)=0),AND($R61&lt;&gt;"",COUNTIF($B$19:$B60,$R61)=0),AND($S61&lt;&gt;"",COUNTIF($B$19:$B60,$S61)=0),AND($T61&lt;&gt;"",COUNTIF($B$19:$B60,$T61)=0)),"REVISAR",MAX(IFERROR(INDEX($V$19:$V60,MATCH($Q61,$B$19:$B60,0)),0),IFERROR(INDEX($V$19:$V60,MATCH($R61,$B$19:$B60,0)),0),IFERROR(INDEX($V$19:$V60,MATCH($S61,$B$19:$B60,0)),0),IFERROR(INDEX($V$19:$V60,MATCH($T61,$B$19:$B60,0)),0))))</x:f>
      </x:c>
      <x:c r="V61" s="336" t="str">
        <x:f>IF(ISNUMBER($U61),$U61+IF($J61="",0,$J61),"")</x:f>
      </x:c>
      <x:c r="W61" s="337"/>
      <x:c r="X61" s="338" t="str">
        <x:f>IF(COUNTA($B61:$K61)+COUNTA($Q61:$T61)+COUNTA($W61)=0,"",IF($B61="","FALTA ID",IF(COUNTIF($B$19:$B$118,$B61)&gt;1,"ID REPETIDO",IF($E61="","FALTA DESCRIPCIÓN",IF($K61="","FALTA TIPO",IF(AND($K61&lt;&gt;"A",$J61=""),"FALTA TIEMPO",IF(AND($K61="T",OR($G61="",$H61="",$I61="")),"REVISAR TRANSPORTE",IF($U61="REVISAR","REVISAR PRECEDENCIA","OK"))))))))</x:f>
      </x:c>
    </x:row>
    <x:row r="62" ht="24" customHeight="1">
      <x:c r="A62" s="326" t="str">
        <x:f>IF($E62="","",COUNTA($E$19:E62))</x:f>
      </x:c>
      <x:c r="B62" s="327"/>
      <x:c r="C62" s="327"/>
      <x:c r="D62" s="327"/>
      <x:c r="E62" s="328"/>
      <x:c r="F62" s="328"/>
      <x:c r="G62" s="328"/>
      <x:c r="H62" s="328"/>
      <x:c r="I62" s="329"/>
      <x:c r="J62" s="329"/>
      <x:c r="K62" s="327"/>
      <x:c r="L62" s="330" t="str">
        <x:f>IF($K62="O", "●", "")</x:f>
      </x:c>
      <x:c r="M62" s="331" t="str">
        <x:f>IF($K62="T", "➜", "")</x:f>
      </x:c>
      <x:c r="N62" s="332" t="str">
        <x:f>IF($K62="I", "■", "")</x:f>
      </x:c>
      <x:c r="O62" s="333" t="str">
        <x:f>IF($K62="E", "D", "")</x:f>
      </x:c>
      <x:c r="P62" s="334" t="str">
        <x:f>IF($K62="A", "▼", "")</x:f>
      </x:c>
      <x:c r="Q62" s="335"/>
      <x:c r="R62" s="335"/>
      <x:c r="S62" s="335"/>
      <x:c r="T62" s="335"/>
      <x:c r="U62" s="336" t="str">
        <x:f>IF(OR($B62="",$E62="",$K62="",AND($K62&lt;&gt;"A",$J62="")),"",IF(OR(AND($Q62&lt;&gt;"",COUNTIF($B$19:$B61,$Q62)=0),AND($R62&lt;&gt;"",COUNTIF($B$19:$B61,$R62)=0),AND($S62&lt;&gt;"",COUNTIF($B$19:$B61,$S62)=0),AND($T62&lt;&gt;"",COUNTIF($B$19:$B61,$T62)=0)),"REVISAR",MAX(IFERROR(INDEX($V$19:$V61,MATCH($Q62,$B$19:$B61,0)),0),IFERROR(INDEX($V$19:$V61,MATCH($R62,$B$19:$B61,0)),0),IFERROR(INDEX($V$19:$V61,MATCH($S62,$B$19:$B61,0)),0),IFERROR(INDEX($V$19:$V61,MATCH($T62,$B$19:$B61,0)),0))))</x:f>
      </x:c>
      <x:c r="V62" s="336" t="str">
        <x:f>IF(ISNUMBER($U62),$U62+IF($J62="",0,$J62),"")</x:f>
      </x:c>
      <x:c r="W62" s="337"/>
      <x:c r="X62" s="338" t="str">
        <x:f>IF(COUNTA($B62:$K62)+COUNTA($Q62:$T62)+COUNTA($W62)=0,"",IF($B62="","FALTA ID",IF(COUNTIF($B$19:$B$118,$B62)&gt;1,"ID REPETIDO",IF($E62="","FALTA DESCRIPCIÓN",IF($K62="","FALTA TIPO",IF(AND($K62&lt;&gt;"A",$J62=""),"FALTA TIEMPO",IF(AND($K62="T",OR($G62="",$H62="",$I62="")),"REVISAR TRANSPORTE",IF($U62="REVISAR","REVISAR PRECEDENCIA","OK"))))))))</x:f>
      </x:c>
    </x:row>
    <x:row r="63" ht="24" customHeight="1">
      <x:c r="A63" s="326" t="str">
        <x:f>IF($E63="","",COUNTA($E$19:E63))</x:f>
      </x:c>
      <x:c r="B63" s="327"/>
      <x:c r="C63" s="327"/>
      <x:c r="D63" s="327"/>
      <x:c r="E63" s="328"/>
      <x:c r="F63" s="328"/>
      <x:c r="G63" s="328"/>
      <x:c r="H63" s="328"/>
      <x:c r="I63" s="329"/>
      <x:c r="J63" s="329"/>
      <x:c r="K63" s="327"/>
      <x:c r="L63" s="330" t="str">
        <x:f>IF($K63="O", "●", "")</x:f>
      </x:c>
      <x:c r="M63" s="331" t="str">
        <x:f>IF($K63="T", "➜", "")</x:f>
      </x:c>
      <x:c r="N63" s="332" t="str">
        <x:f>IF($K63="I", "■", "")</x:f>
      </x:c>
      <x:c r="O63" s="333" t="str">
        <x:f>IF($K63="E", "D", "")</x:f>
      </x:c>
      <x:c r="P63" s="334" t="str">
        <x:f>IF($K63="A", "▼", "")</x:f>
      </x:c>
      <x:c r="Q63" s="335"/>
      <x:c r="R63" s="335"/>
      <x:c r="S63" s="335"/>
      <x:c r="T63" s="335"/>
      <x:c r="U63" s="336" t="str">
        <x:f>IF(OR($B63="",$E63="",$K63="",AND($K63&lt;&gt;"A",$J63="")),"",IF(OR(AND($Q63&lt;&gt;"",COUNTIF($B$19:$B62,$Q63)=0),AND($R63&lt;&gt;"",COUNTIF($B$19:$B62,$R63)=0),AND($S63&lt;&gt;"",COUNTIF($B$19:$B62,$S63)=0),AND($T63&lt;&gt;"",COUNTIF($B$19:$B62,$T63)=0)),"REVISAR",MAX(IFERROR(INDEX($V$19:$V62,MATCH($Q63,$B$19:$B62,0)),0),IFERROR(INDEX($V$19:$V62,MATCH($R63,$B$19:$B62,0)),0),IFERROR(INDEX($V$19:$V62,MATCH($S63,$B$19:$B62,0)),0),IFERROR(INDEX($V$19:$V62,MATCH($T63,$B$19:$B62,0)),0))))</x:f>
      </x:c>
      <x:c r="V63" s="336" t="str">
        <x:f>IF(ISNUMBER($U63),$U63+IF($J63="",0,$J63),"")</x:f>
      </x:c>
      <x:c r="W63" s="337"/>
      <x:c r="X63" s="338" t="str">
        <x:f>IF(COUNTA($B63:$K63)+COUNTA($Q63:$T63)+COUNTA($W63)=0,"",IF($B63="","FALTA ID",IF(COUNTIF($B$19:$B$118,$B63)&gt;1,"ID REPETIDO",IF($E63="","FALTA DESCRIPCIÓN",IF($K63="","FALTA TIPO",IF(AND($K63&lt;&gt;"A",$J63=""),"FALTA TIEMPO",IF(AND($K63="T",OR($G63="",$H63="",$I63="")),"REVISAR TRANSPORTE",IF($U63="REVISAR","REVISAR PRECEDENCIA","OK"))))))))</x:f>
      </x:c>
    </x:row>
    <x:row r="64" ht="24" customHeight="1">
      <x:c r="A64" s="326" t="str">
        <x:f>IF($E64="","",COUNTA($E$19:E64))</x:f>
      </x:c>
      <x:c r="B64" s="327"/>
      <x:c r="C64" s="327"/>
      <x:c r="D64" s="327"/>
      <x:c r="E64" s="328"/>
      <x:c r="F64" s="328"/>
      <x:c r="G64" s="328"/>
      <x:c r="H64" s="328"/>
      <x:c r="I64" s="329"/>
      <x:c r="J64" s="329"/>
      <x:c r="K64" s="327"/>
      <x:c r="L64" s="330" t="str">
        <x:f>IF($K64="O", "●", "")</x:f>
      </x:c>
      <x:c r="M64" s="331" t="str">
        <x:f>IF($K64="T", "➜", "")</x:f>
      </x:c>
      <x:c r="N64" s="332" t="str">
        <x:f>IF($K64="I", "■", "")</x:f>
      </x:c>
      <x:c r="O64" s="333" t="str">
        <x:f>IF($K64="E", "D", "")</x:f>
      </x:c>
      <x:c r="P64" s="334" t="str">
        <x:f>IF($K64="A", "▼", "")</x:f>
      </x:c>
      <x:c r="Q64" s="335"/>
      <x:c r="R64" s="335"/>
      <x:c r="S64" s="335"/>
      <x:c r="T64" s="335"/>
      <x:c r="U64" s="336" t="str">
        <x:f>IF(OR($B64="",$E64="",$K64="",AND($K64&lt;&gt;"A",$J64="")),"",IF(OR(AND($Q64&lt;&gt;"",COUNTIF($B$19:$B63,$Q64)=0),AND($R64&lt;&gt;"",COUNTIF($B$19:$B63,$R64)=0),AND($S64&lt;&gt;"",COUNTIF($B$19:$B63,$S64)=0),AND($T64&lt;&gt;"",COUNTIF($B$19:$B63,$T64)=0)),"REVISAR",MAX(IFERROR(INDEX($V$19:$V63,MATCH($Q64,$B$19:$B63,0)),0),IFERROR(INDEX($V$19:$V63,MATCH($R64,$B$19:$B63,0)),0),IFERROR(INDEX($V$19:$V63,MATCH($S64,$B$19:$B63,0)),0),IFERROR(INDEX($V$19:$V63,MATCH($T64,$B$19:$B63,0)),0))))</x:f>
      </x:c>
      <x:c r="V64" s="336" t="str">
        <x:f>IF(ISNUMBER($U64),$U64+IF($J64="",0,$J64),"")</x:f>
      </x:c>
      <x:c r="W64" s="337"/>
      <x:c r="X64" s="338" t="str">
        <x:f>IF(COUNTA($B64:$K64)+COUNTA($Q64:$T64)+COUNTA($W64)=0,"",IF($B64="","FALTA ID",IF(COUNTIF($B$19:$B$118,$B64)&gt;1,"ID REPETIDO",IF($E64="","FALTA DESCRIPCIÓN",IF($K64="","FALTA TIPO",IF(AND($K64&lt;&gt;"A",$J64=""),"FALTA TIEMPO",IF(AND($K64="T",OR($G64="",$H64="",$I64="")),"REVISAR TRANSPORTE",IF($U64="REVISAR","REVISAR PRECEDENCIA","OK"))))))))</x:f>
      </x:c>
    </x:row>
    <x:row r="65" ht="24" customHeight="1">
      <x:c r="A65" s="326" t="str">
        <x:f>IF($E65="","",COUNTA($E$19:E65))</x:f>
      </x:c>
      <x:c r="B65" s="327"/>
      <x:c r="C65" s="327"/>
      <x:c r="D65" s="327"/>
      <x:c r="E65" s="328"/>
      <x:c r="F65" s="328"/>
      <x:c r="G65" s="328"/>
      <x:c r="H65" s="328"/>
      <x:c r="I65" s="329"/>
      <x:c r="J65" s="329"/>
      <x:c r="K65" s="327"/>
      <x:c r="L65" s="330" t="str">
        <x:f>IF($K65="O", "●", "")</x:f>
      </x:c>
      <x:c r="M65" s="331" t="str">
        <x:f>IF($K65="T", "➜", "")</x:f>
      </x:c>
      <x:c r="N65" s="332" t="str">
        <x:f>IF($K65="I", "■", "")</x:f>
      </x:c>
      <x:c r="O65" s="333" t="str">
        <x:f>IF($K65="E", "D", "")</x:f>
      </x:c>
      <x:c r="P65" s="334" t="str">
        <x:f>IF($K65="A", "▼", "")</x:f>
      </x:c>
      <x:c r="Q65" s="335"/>
      <x:c r="R65" s="335"/>
      <x:c r="S65" s="335"/>
      <x:c r="T65" s="335"/>
      <x:c r="U65" s="336" t="str">
        <x:f>IF(OR($B65="",$E65="",$K65="",AND($K65&lt;&gt;"A",$J65="")),"",IF(OR(AND($Q65&lt;&gt;"",COUNTIF($B$19:$B64,$Q65)=0),AND($R65&lt;&gt;"",COUNTIF($B$19:$B64,$R65)=0),AND($S65&lt;&gt;"",COUNTIF($B$19:$B64,$S65)=0),AND($T65&lt;&gt;"",COUNTIF($B$19:$B64,$T65)=0)),"REVISAR",MAX(IFERROR(INDEX($V$19:$V64,MATCH($Q65,$B$19:$B64,0)),0),IFERROR(INDEX($V$19:$V64,MATCH($R65,$B$19:$B64,0)),0),IFERROR(INDEX($V$19:$V64,MATCH($S65,$B$19:$B64,0)),0),IFERROR(INDEX($V$19:$V64,MATCH($T65,$B$19:$B64,0)),0))))</x:f>
      </x:c>
      <x:c r="V65" s="336" t="str">
        <x:f>IF(ISNUMBER($U65),$U65+IF($J65="",0,$J65),"")</x:f>
      </x:c>
      <x:c r="W65" s="337"/>
      <x:c r="X65" s="338" t="str">
        <x:f>IF(COUNTA($B65:$K65)+COUNTA($Q65:$T65)+COUNTA($W65)=0,"",IF($B65="","FALTA ID",IF(COUNTIF($B$19:$B$118,$B65)&gt;1,"ID REPETIDO",IF($E65="","FALTA DESCRIPCIÓN",IF($K65="","FALTA TIPO",IF(AND($K65&lt;&gt;"A",$J65=""),"FALTA TIEMPO",IF(AND($K65="T",OR($G65="",$H65="",$I65="")),"REVISAR TRANSPORTE",IF($U65="REVISAR","REVISAR PRECEDENCIA","OK"))))))))</x:f>
      </x:c>
    </x:row>
    <x:row r="66" ht="24" customHeight="1">
      <x:c r="A66" s="326" t="str">
        <x:f>IF($E66="","",COUNTA($E$19:E66))</x:f>
      </x:c>
      <x:c r="B66" s="327"/>
      <x:c r="C66" s="327"/>
      <x:c r="D66" s="327"/>
      <x:c r="E66" s="328"/>
      <x:c r="F66" s="328"/>
      <x:c r="G66" s="328"/>
      <x:c r="H66" s="328"/>
      <x:c r="I66" s="329"/>
      <x:c r="J66" s="329"/>
      <x:c r="K66" s="327"/>
      <x:c r="L66" s="330" t="str">
        <x:f>IF($K66="O", "●", "")</x:f>
      </x:c>
      <x:c r="M66" s="331" t="str">
        <x:f>IF($K66="T", "➜", "")</x:f>
      </x:c>
      <x:c r="N66" s="332" t="str">
        <x:f>IF($K66="I", "■", "")</x:f>
      </x:c>
      <x:c r="O66" s="333" t="str">
        <x:f>IF($K66="E", "D", "")</x:f>
      </x:c>
      <x:c r="P66" s="334" t="str">
        <x:f>IF($K66="A", "▼", "")</x:f>
      </x:c>
      <x:c r="Q66" s="335"/>
      <x:c r="R66" s="335"/>
      <x:c r="S66" s="335"/>
      <x:c r="T66" s="335"/>
      <x:c r="U66" s="336" t="str">
        <x:f>IF(OR($B66="",$E66="",$K66="",AND($K66&lt;&gt;"A",$J66="")),"",IF(OR(AND($Q66&lt;&gt;"",COUNTIF($B$19:$B65,$Q66)=0),AND($R66&lt;&gt;"",COUNTIF($B$19:$B65,$R66)=0),AND($S66&lt;&gt;"",COUNTIF($B$19:$B65,$S66)=0),AND($T66&lt;&gt;"",COUNTIF($B$19:$B65,$T66)=0)),"REVISAR",MAX(IFERROR(INDEX($V$19:$V65,MATCH($Q66,$B$19:$B65,0)),0),IFERROR(INDEX($V$19:$V65,MATCH($R66,$B$19:$B65,0)),0),IFERROR(INDEX($V$19:$V65,MATCH($S66,$B$19:$B65,0)),0),IFERROR(INDEX($V$19:$V65,MATCH($T66,$B$19:$B65,0)),0))))</x:f>
      </x:c>
      <x:c r="V66" s="336" t="str">
        <x:f>IF(ISNUMBER($U66),$U66+IF($J66="",0,$J66),"")</x:f>
      </x:c>
      <x:c r="W66" s="337"/>
      <x:c r="X66" s="338" t="str">
        <x:f>IF(COUNTA($B66:$K66)+COUNTA($Q66:$T66)+COUNTA($W66)=0,"",IF($B66="","FALTA ID",IF(COUNTIF($B$19:$B$118,$B66)&gt;1,"ID REPETIDO",IF($E66="","FALTA DESCRIPCIÓN",IF($K66="","FALTA TIPO",IF(AND($K66&lt;&gt;"A",$J66=""),"FALTA TIEMPO",IF(AND($K66="T",OR($G66="",$H66="",$I66="")),"REVISAR TRANSPORTE",IF($U66="REVISAR","REVISAR PRECEDENCIA","OK"))))))))</x:f>
      </x:c>
    </x:row>
    <x:row r="67" ht="24" customHeight="1">
      <x:c r="A67" s="326" t="str">
        <x:f>IF($E67="","",COUNTA($E$19:E67))</x:f>
      </x:c>
      <x:c r="B67" s="327"/>
      <x:c r="C67" s="327"/>
      <x:c r="D67" s="327"/>
      <x:c r="E67" s="328"/>
      <x:c r="F67" s="328"/>
      <x:c r="G67" s="328"/>
      <x:c r="H67" s="328"/>
      <x:c r="I67" s="329"/>
      <x:c r="J67" s="329"/>
      <x:c r="K67" s="327"/>
      <x:c r="L67" s="330" t="str">
        <x:f>IF($K67="O", "●", "")</x:f>
      </x:c>
      <x:c r="M67" s="331" t="str">
        <x:f>IF($K67="T", "➜", "")</x:f>
      </x:c>
      <x:c r="N67" s="332" t="str">
        <x:f>IF($K67="I", "■", "")</x:f>
      </x:c>
      <x:c r="O67" s="333" t="str">
        <x:f>IF($K67="E", "D", "")</x:f>
      </x:c>
      <x:c r="P67" s="334" t="str">
        <x:f>IF($K67="A", "▼", "")</x:f>
      </x:c>
      <x:c r="Q67" s="335"/>
      <x:c r="R67" s="335"/>
      <x:c r="S67" s="335"/>
      <x:c r="T67" s="335"/>
      <x:c r="U67" s="336" t="str">
        <x:f>IF(OR($B67="",$E67="",$K67="",AND($K67&lt;&gt;"A",$J67="")),"",IF(OR(AND($Q67&lt;&gt;"",COUNTIF($B$19:$B66,$Q67)=0),AND($R67&lt;&gt;"",COUNTIF($B$19:$B66,$R67)=0),AND($S67&lt;&gt;"",COUNTIF($B$19:$B66,$S67)=0),AND($T67&lt;&gt;"",COUNTIF($B$19:$B66,$T67)=0)),"REVISAR",MAX(IFERROR(INDEX($V$19:$V66,MATCH($Q67,$B$19:$B66,0)),0),IFERROR(INDEX($V$19:$V66,MATCH($R67,$B$19:$B66,0)),0),IFERROR(INDEX($V$19:$V66,MATCH($S67,$B$19:$B66,0)),0),IFERROR(INDEX($V$19:$V66,MATCH($T67,$B$19:$B66,0)),0))))</x:f>
      </x:c>
      <x:c r="V67" s="336" t="str">
        <x:f>IF(ISNUMBER($U67),$U67+IF($J67="",0,$J67),"")</x:f>
      </x:c>
      <x:c r="W67" s="337"/>
      <x:c r="X67" s="338" t="str">
        <x:f>IF(COUNTA($B67:$K67)+COUNTA($Q67:$T67)+COUNTA($W67)=0,"",IF($B67="","FALTA ID",IF(COUNTIF($B$19:$B$118,$B67)&gt;1,"ID REPETIDO",IF($E67="","FALTA DESCRIPCIÓN",IF($K67="","FALTA TIPO",IF(AND($K67&lt;&gt;"A",$J67=""),"FALTA TIEMPO",IF(AND($K67="T",OR($G67="",$H67="",$I67="")),"REVISAR TRANSPORTE",IF($U67="REVISAR","REVISAR PRECEDENCIA","OK"))))))))</x:f>
      </x:c>
    </x:row>
    <x:row r="68" ht="24" customHeight="1">
      <x:c r="A68" s="326" t="str">
        <x:f>IF($E68="","",COUNTA($E$19:E68))</x:f>
      </x:c>
      <x:c r="B68" s="327"/>
      <x:c r="C68" s="327"/>
      <x:c r="D68" s="327"/>
      <x:c r="E68" s="328"/>
      <x:c r="F68" s="328"/>
      <x:c r="G68" s="328"/>
      <x:c r="H68" s="328"/>
      <x:c r="I68" s="329"/>
      <x:c r="J68" s="329"/>
      <x:c r="K68" s="327"/>
      <x:c r="L68" s="330" t="str">
        <x:f>IF($K68="O", "●", "")</x:f>
      </x:c>
      <x:c r="M68" s="331" t="str">
        <x:f>IF($K68="T", "➜", "")</x:f>
      </x:c>
      <x:c r="N68" s="332" t="str">
        <x:f>IF($K68="I", "■", "")</x:f>
      </x:c>
      <x:c r="O68" s="333" t="str">
        <x:f>IF($K68="E", "D", "")</x:f>
      </x:c>
      <x:c r="P68" s="334" t="str">
        <x:f>IF($K68="A", "▼", "")</x:f>
      </x:c>
      <x:c r="Q68" s="335"/>
      <x:c r="R68" s="335"/>
      <x:c r="S68" s="335"/>
      <x:c r="T68" s="335"/>
      <x:c r="U68" s="336" t="str">
        <x:f>IF(OR($B68="",$E68="",$K68="",AND($K68&lt;&gt;"A",$J68="")),"",IF(OR(AND($Q68&lt;&gt;"",COUNTIF($B$19:$B67,$Q68)=0),AND($R68&lt;&gt;"",COUNTIF($B$19:$B67,$R68)=0),AND($S68&lt;&gt;"",COUNTIF($B$19:$B67,$S68)=0),AND($T68&lt;&gt;"",COUNTIF($B$19:$B67,$T68)=0)),"REVISAR",MAX(IFERROR(INDEX($V$19:$V67,MATCH($Q68,$B$19:$B67,0)),0),IFERROR(INDEX($V$19:$V67,MATCH($R68,$B$19:$B67,0)),0),IFERROR(INDEX($V$19:$V67,MATCH($S68,$B$19:$B67,0)),0),IFERROR(INDEX($V$19:$V67,MATCH($T68,$B$19:$B67,0)),0))))</x:f>
      </x:c>
      <x:c r="V68" s="336" t="str">
        <x:f>IF(ISNUMBER($U68),$U68+IF($J68="",0,$J68),"")</x:f>
      </x:c>
      <x:c r="W68" s="337"/>
      <x:c r="X68" s="338" t="str">
        <x:f>IF(COUNTA($B68:$K68)+COUNTA($Q68:$T68)+COUNTA($W68)=0,"",IF($B68="","FALTA ID",IF(COUNTIF($B$19:$B$118,$B68)&gt;1,"ID REPETIDO",IF($E68="","FALTA DESCRIPCIÓN",IF($K68="","FALTA TIPO",IF(AND($K68&lt;&gt;"A",$J68=""),"FALTA TIEMPO",IF(AND($K68="T",OR($G68="",$H68="",$I68="")),"REVISAR TRANSPORTE",IF($U68="REVISAR","REVISAR PRECEDENCIA","OK"))))))))</x:f>
      </x:c>
    </x:row>
    <x:row r="69" ht="24" customHeight="1">
      <x:c r="A69" s="326" t="str">
        <x:f>IF($E69="","",COUNTA($E$19:E69))</x:f>
      </x:c>
      <x:c r="B69" s="327"/>
      <x:c r="C69" s="327"/>
      <x:c r="D69" s="327"/>
      <x:c r="E69" s="328"/>
      <x:c r="F69" s="328"/>
      <x:c r="G69" s="328"/>
      <x:c r="H69" s="328"/>
      <x:c r="I69" s="329"/>
      <x:c r="J69" s="329"/>
      <x:c r="K69" s="327"/>
      <x:c r="L69" s="330" t="str">
        <x:f>IF($K69="O", "●", "")</x:f>
      </x:c>
      <x:c r="M69" s="331" t="str">
        <x:f>IF($K69="T", "➜", "")</x:f>
      </x:c>
      <x:c r="N69" s="332" t="str">
        <x:f>IF($K69="I", "■", "")</x:f>
      </x:c>
      <x:c r="O69" s="333" t="str">
        <x:f>IF($K69="E", "D", "")</x:f>
      </x:c>
      <x:c r="P69" s="334" t="str">
        <x:f>IF($K69="A", "▼", "")</x:f>
      </x:c>
      <x:c r="Q69" s="335"/>
      <x:c r="R69" s="335"/>
      <x:c r="S69" s="335"/>
      <x:c r="T69" s="335"/>
      <x:c r="U69" s="336" t="str">
        <x:f>IF(OR($B69="",$E69="",$K69="",AND($K69&lt;&gt;"A",$J69="")),"",IF(OR(AND($Q69&lt;&gt;"",COUNTIF($B$19:$B68,$Q69)=0),AND($R69&lt;&gt;"",COUNTIF($B$19:$B68,$R69)=0),AND($S69&lt;&gt;"",COUNTIF($B$19:$B68,$S69)=0),AND($T69&lt;&gt;"",COUNTIF($B$19:$B68,$T69)=0)),"REVISAR",MAX(IFERROR(INDEX($V$19:$V68,MATCH($Q69,$B$19:$B68,0)),0),IFERROR(INDEX($V$19:$V68,MATCH($R69,$B$19:$B68,0)),0),IFERROR(INDEX($V$19:$V68,MATCH($S69,$B$19:$B68,0)),0),IFERROR(INDEX($V$19:$V68,MATCH($T69,$B$19:$B68,0)),0))))</x:f>
      </x:c>
      <x:c r="V69" s="336" t="str">
        <x:f>IF(ISNUMBER($U69),$U69+IF($J69="",0,$J69),"")</x:f>
      </x:c>
      <x:c r="W69" s="337"/>
      <x:c r="X69" s="338" t="str">
        <x:f>IF(COUNTA($B69:$K69)+COUNTA($Q69:$T69)+COUNTA($W69)=0,"",IF($B69="","FALTA ID",IF(COUNTIF($B$19:$B$118,$B69)&gt;1,"ID REPETIDO",IF($E69="","FALTA DESCRIPCIÓN",IF($K69="","FALTA TIPO",IF(AND($K69&lt;&gt;"A",$J69=""),"FALTA TIEMPO",IF(AND($K69="T",OR($G69="",$H69="",$I69="")),"REVISAR TRANSPORTE",IF($U69="REVISAR","REVISAR PRECEDENCIA","OK"))))))))</x:f>
      </x:c>
    </x:row>
    <x:row r="70" ht="24" customHeight="1">
      <x:c r="A70" s="326" t="str">
        <x:f>IF($E70="","",COUNTA($E$19:E70))</x:f>
      </x:c>
      <x:c r="B70" s="327"/>
      <x:c r="C70" s="327"/>
      <x:c r="D70" s="327"/>
      <x:c r="E70" s="328"/>
      <x:c r="F70" s="328"/>
      <x:c r="G70" s="328"/>
      <x:c r="H70" s="328"/>
      <x:c r="I70" s="329"/>
      <x:c r="J70" s="329"/>
      <x:c r="K70" s="327"/>
      <x:c r="L70" s="330" t="str">
        <x:f>IF($K70="O", "●", "")</x:f>
      </x:c>
      <x:c r="M70" s="331" t="str">
        <x:f>IF($K70="T", "➜", "")</x:f>
      </x:c>
      <x:c r="N70" s="332" t="str">
        <x:f>IF($K70="I", "■", "")</x:f>
      </x:c>
      <x:c r="O70" s="333" t="str">
        <x:f>IF($K70="E", "D", "")</x:f>
      </x:c>
      <x:c r="P70" s="334" t="str">
        <x:f>IF($K70="A", "▼", "")</x:f>
      </x:c>
      <x:c r="Q70" s="335"/>
      <x:c r="R70" s="335"/>
      <x:c r="S70" s="335"/>
      <x:c r="T70" s="335"/>
      <x:c r="U70" s="336" t="str">
        <x:f>IF(OR($B70="",$E70="",$K70="",AND($K70&lt;&gt;"A",$J70="")),"",IF(OR(AND($Q70&lt;&gt;"",COUNTIF($B$19:$B69,$Q70)=0),AND($R70&lt;&gt;"",COUNTIF($B$19:$B69,$R70)=0),AND($S70&lt;&gt;"",COUNTIF($B$19:$B69,$S70)=0),AND($T70&lt;&gt;"",COUNTIF($B$19:$B69,$T70)=0)),"REVISAR",MAX(IFERROR(INDEX($V$19:$V69,MATCH($Q70,$B$19:$B69,0)),0),IFERROR(INDEX($V$19:$V69,MATCH($R70,$B$19:$B69,0)),0),IFERROR(INDEX($V$19:$V69,MATCH($S70,$B$19:$B69,0)),0),IFERROR(INDEX($V$19:$V69,MATCH($T70,$B$19:$B69,0)),0))))</x:f>
      </x:c>
      <x:c r="V70" s="336" t="str">
        <x:f>IF(ISNUMBER($U70),$U70+IF($J70="",0,$J70),"")</x:f>
      </x:c>
      <x:c r="W70" s="337"/>
      <x:c r="X70" s="338" t="str">
        <x:f>IF(COUNTA($B70:$K70)+COUNTA($Q70:$T70)+COUNTA($W70)=0,"",IF($B70="","FALTA ID",IF(COUNTIF($B$19:$B$118,$B70)&gt;1,"ID REPETIDO",IF($E70="","FALTA DESCRIPCIÓN",IF($K70="","FALTA TIPO",IF(AND($K70&lt;&gt;"A",$J70=""),"FALTA TIEMPO",IF(AND($K70="T",OR($G70="",$H70="",$I70="")),"REVISAR TRANSPORTE",IF($U70="REVISAR","REVISAR PRECEDENCIA","OK"))))))))</x:f>
      </x:c>
    </x:row>
    <x:row r="71" ht="24" customHeight="1">
      <x:c r="A71" s="326" t="str">
        <x:f>IF($E71="","",COUNTA($E$19:E71))</x:f>
      </x:c>
      <x:c r="B71" s="327"/>
      <x:c r="C71" s="327"/>
      <x:c r="D71" s="327"/>
      <x:c r="E71" s="328"/>
      <x:c r="F71" s="328"/>
      <x:c r="G71" s="328"/>
      <x:c r="H71" s="328"/>
      <x:c r="I71" s="329"/>
      <x:c r="J71" s="329"/>
      <x:c r="K71" s="327"/>
      <x:c r="L71" s="330" t="str">
        <x:f>IF($K71="O", "●", "")</x:f>
      </x:c>
      <x:c r="M71" s="331" t="str">
        <x:f>IF($K71="T", "➜", "")</x:f>
      </x:c>
      <x:c r="N71" s="332" t="str">
        <x:f>IF($K71="I", "■", "")</x:f>
      </x:c>
      <x:c r="O71" s="333" t="str">
        <x:f>IF($K71="E", "D", "")</x:f>
      </x:c>
      <x:c r="P71" s="334" t="str">
        <x:f>IF($K71="A", "▼", "")</x:f>
      </x:c>
      <x:c r="Q71" s="335"/>
      <x:c r="R71" s="335"/>
      <x:c r="S71" s="335"/>
      <x:c r="T71" s="335"/>
      <x:c r="U71" s="336" t="str">
        <x:f>IF(OR($B71="",$E71="",$K71="",AND($K71&lt;&gt;"A",$J71="")),"",IF(OR(AND($Q71&lt;&gt;"",COUNTIF($B$19:$B70,$Q71)=0),AND($R71&lt;&gt;"",COUNTIF($B$19:$B70,$R71)=0),AND($S71&lt;&gt;"",COUNTIF($B$19:$B70,$S71)=0),AND($T71&lt;&gt;"",COUNTIF($B$19:$B70,$T71)=0)),"REVISAR",MAX(IFERROR(INDEX($V$19:$V70,MATCH($Q71,$B$19:$B70,0)),0),IFERROR(INDEX($V$19:$V70,MATCH($R71,$B$19:$B70,0)),0),IFERROR(INDEX($V$19:$V70,MATCH($S71,$B$19:$B70,0)),0),IFERROR(INDEX($V$19:$V70,MATCH($T71,$B$19:$B70,0)),0))))</x:f>
      </x:c>
      <x:c r="V71" s="336" t="str">
        <x:f>IF(ISNUMBER($U71),$U71+IF($J71="",0,$J71),"")</x:f>
      </x:c>
      <x:c r="W71" s="337"/>
      <x:c r="X71" s="338" t="str">
        <x:f>IF(COUNTA($B71:$K71)+COUNTA($Q71:$T71)+COUNTA($W71)=0,"",IF($B71="","FALTA ID",IF(COUNTIF($B$19:$B$118,$B71)&gt;1,"ID REPETIDO",IF($E71="","FALTA DESCRIPCIÓN",IF($K71="","FALTA TIPO",IF(AND($K71&lt;&gt;"A",$J71=""),"FALTA TIEMPO",IF(AND($K71="T",OR($G71="",$H71="",$I71="")),"REVISAR TRANSPORTE",IF($U71="REVISAR","REVISAR PRECEDENCIA","OK"))))))))</x:f>
      </x:c>
    </x:row>
    <x:row r="72" ht="24" customHeight="1">
      <x:c r="A72" s="326" t="str">
        <x:f>IF($E72="","",COUNTA($E$19:E72))</x:f>
      </x:c>
      <x:c r="B72" s="327"/>
      <x:c r="C72" s="327"/>
      <x:c r="D72" s="327"/>
      <x:c r="E72" s="328"/>
      <x:c r="F72" s="328"/>
      <x:c r="G72" s="328"/>
      <x:c r="H72" s="328"/>
      <x:c r="I72" s="329"/>
      <x:c r="J72" s="329"/>
      <x:c r="K72" s="327"/>
      <x:c r="L72" s="330" t="str">
        <x:f>IF($K72="O", "●", "")</x:f>
      </x:c>
      <x:c r="M72" s="331" t="str">
        <x:f>IF($K72="T", "➜", "")</x:f>
      </x:c>
      <x:c r="N72" s="332" t="str">
        <x:f>IF($K72="I", "■", "")</x:f>
      </x:c>
      <x:c r="O72" s="333" t="str">
        <x:f>IF($K72="E", "D", "")</x:f>
      </x:c>
      <x:c r="P72" s="334" t="str">
        <x:f>IF($K72="A", "▼", "")</x:f>
      </x:c>
      <x:c r="Q72" s="335"/>
      <x:c r="R72" s="335"/>
      <x:c r="S72" s="335"/>
      <x:c r="T72" s="335"/>
      <x:c r="U72" s="336" t="str">
        <x:f>IF(OR($B72="",$E72="",$K72="",AND($K72&lt;&gt;"A",$J72="")),"",IF(OR(AND($Q72&lt;&gt;"",COUNTIF($B$19:$B71,$Q72)=0),AND($R72&lt;&gt;"",COUNTIF($B$19:$B71,$R72)=0),AND($S72&lt;&gt;"",COUNTIF($B$19:$B71,$S72)=0),AND($T72&lt;&gt;"",COUNTIF($B$19:$B71,$T72)=0)),"REVISAR",MAX(IFERROR(INDEX($V$19:$V71,MATCH($Q72,$B$19:$B71,0)),0),IFERROR(INDEX($V$19:$V71,MATCH($R72,$B$19:$B71,0)),0),IFERROR(INDEX($V$19:$V71,MATCH($S72,$B$19:$B71,0)),0),IFERROR(INDEX($V$19:$V71,MATCH($T72,$B$19:$B71,0)),0))))</x:f>
      </x:c>
      <x:c r="V72" s="336" t="str">
        <x:f>IF(ISNUMBER($U72),$U72+IF($J72="",0,$J72),"")</x:f>
      </x:c>
      <x:c r="W72" s="337"/>
      <x:c r="X72" s="338" t="str">
        <x:f>IF(COUNTA($B72:$K72)+COUNTA($Q72:$T72)+COUNTA($W72)=0,"",IF($B72="","FALTA ID",IF(COUNTIF($B$19:$B$118,$B72)&gt;1,"ID REPETIDO",IF($E72="","FALTA DESCRIPCIÓN",IF($K72="","FALTA TIPO",IF(AND($K72&lt;&gt;"A",$J72=""),"FALTA TIEMPO",IF(AND($K72="T",OR($G72="",$H72="",$I72="")),"REVISAR TRANSPORTE",IF($U72="REVISAR","REVISAR PRECEDENCIA","OK"))))))))</x:f>
      </x:c>
    </x:row>
    <x:row r="73" ht="24" customHeight="1">
      <x:c r="A73" s="326" t="str">
        <x:f>IF($E73="","",COUNTA($E$19:E73))</x:f>
      </x:c>
      <x:c r="B73" s="327"/>
      <x:c r="C73" s="327"/>
      <x:c r="D73" s="327"/>
      <x:c r="E73" s="328"/>
      <x:c r="F73" s="328"/>
      <x:c r="G73" s="328"/>
      <x:c r="H73" s="328"/>
      <x:c r="I73" s="329"/>
      <x:c r="J73" s="329"/>
      <x:c r="K73" s="327"/>
      <x:c r="L73" s="330" t="str">
        <x:f>IF($K73="O", "●", "")</x:f>
      </x:c>
      <x:c r="M73" s="331" t="str">
        <x:f>IF($K73="T", "➜", "")</x:f>
      </x:c>
      <x:c r="N73" s="332" t="str">
        <x:f>IF($K73="I", "■", "")</x:f>
      </x:c>
      <x:c r="O73" s="333" t="str">
        <x:f>IF($K73="E", "D", "")</x:f>
      </x:c>
      <x:c r="P73" s="334" t="str">
        <x:f>IF($K73="A", "▼", "")</x:f>
      </x:c>
      <x:c r="Q73" s="335"/>
      <x:c r="R73" s="335"/>
      <x:c r="S73" s="335"/>
      <x:c r="T73" s="335"/>
      <x:c r="U73" s="336" t="str">
        <x:f>IF(OR($B73="",$E73="",$K73="",AND($K73&lt;&gt;"A",$J73="")),"",IF(OR(AND($Q73&lt;&gt;"",COUNTIF($B$19:$B72,$Q73)=0),AND($R73&lt;&gt;"",COUNTIF($B$19:$B72,$R73)=0),AND($S73&lt;&gt;"",COUNTIF($B$19:$B72,$S73)=0),AND($T73&lt;&gt;"",COUNTIF($B$19:$B72,$T73)=0)),"REVISAR",MAX(IFERROR(INDEX($V$19:$V72,MATCH($Q73,$B$19:$B72,0)),0),IFERROR(INDEX($V$19:$V72,MATCH($R73,$B$19:$B72,0)),0),IFERROR(INDEX($V$19:$V72,MATCH($S73,$B$19:$B72,0)),0),IFERROR(INDEX($V$19:$V72,MATCH($T73,$B$19:$B72,0)),0))))</x:f>
      </x:c>
      <x:c r="V73" s="336" t="str">
        <x:f>IF(ISNUMBER($U73),$U73+IF($J73="",0,$J73),"")</x:f>
      </x:c>
      <x:c r="W73" s="337"/>
      <x:c r="X73" s="338" t="str">
        <x:f>IF(COUNTA($B73:$K73)+COUNTA($Q73:$T73)+COUNTA($W73)=0,"",IF($B73="","FALTA ID",IF(COUNTIF($B$19:$B$118,$B73)&gt;1,"ID REPETIDO",IF($E73="","FALTA DESCRIPCIÓN",IF($K73="","FALTA TIPO",IF(AND($K73&lt;&gt;"A",$J73=""),"FALTA TIEMPO",IF(AND($K73="T",OR($G73="",$H73="",$I73="")),"REVISAR TRANSPORTE",IF($U73="REVISAR","REVISAR PRECEDENCIA","OK"))))))))</x:f>
      </x:c>
    </x:row>
    <x:row r="74" ht="24" customHeight="1">
      <x:c r="A74" s="326" t="str">
        <x:f>IF($E74="","",COUNTA($E$19:E74))</x:f>
      </x:c>
      <x:c r="B74" s="327"/>
      <x:c r="C74" s="327"/>
      <x:c r="D74" s="327"/>
      <x:c r="E74" s="328"/>
      <x:c r="F74" s="328"/>
      <x:c r="G74" s="328"/>
      <x:c r="H74" s="328"/>
      <x:c r="I74" s="329"/>
      <x:c r="J74" s="329"/>
      <x:c r="K74" s="327"/>
      <x:c r="L74" s="330" t="str">
        <x:f>IF($K74="O", "●", "")</x:f>
      </x:c>
      <x:c r="M74" s="331" t="str">
        <x:f>IF($K74="T", "➜", "")</x:f>
      </x:c>
      <x:c r="N74" s="332" t="str">
        <x:f>IF($K74="I", "■", "")</x:f>
      </x:c>
      <x:c r="O74" s="333" t="str">
        <x:f>IF($K74="E", "D", "")</x:f>
      </x:c>
      <x:c r="P74" s="334" t="str">
        <x:f>IF($K74="A", "▼", "")</x:f>
      </x:c>
      <x:c r="Q74" s="335"/>
      <x:c r="R74" s="335"/>
      <x:c r="S74" s="335"/>
      <x:c r="T74" s="335"/>
      <x:c r="U74" s="336" t="str">
        <x:f>IF(OR($B74="",$E74="",$K74="",AND($K74&lt;&gt;"A",$J74="")),"",IF(OR(AND($Q74&lt;&gt;"",COUNTIF($B$19:$B73,$Q74)=0),AND($R74&lt;&gt;"",COUNTIF($B$19:$B73,$R74)=0),AND($S74&lt;&gt;"",COUNTIF($B$19:$B73,$S74)=0),AND($T74&lt;&gt;"",COUNTIF($B$19:$B73,$T74)=0)),"REVISAR",MAX(IFERROR(INDEX($V$19:$V73,MATCH($Q74,$B$19:$B73,0)),0),IFERROR(INDEX($V$19:$V73,MATCH($R74,$B$19:$B73,0)),0),IFERROR(INDEX($V$19:$V73,MATCH($S74,$B$19:$B73,0)),0),IFERROR(INDEX($V$19:$V73,MATCH($T74,$B$19:$B73,0)),0))))</x:f>
      </x:c>
      <x:c r="V74" s="336" t="str">
        <x:f>IF(ISNUMBER($U74),$U74+IF($J74="",0,$J74),"")</x:f>
      </x:c>
      <x:c r="W74" s="337"/>
      <x:c r="X74" s="338" t="str">
        <x:f>IF(COUNTA($B74:$K74)+COUNTA($Q74:$T74)+COUNTA($W74)=0,"",IF($B74="","FALTA ID",IF(COUNTIF($B$19:$B$118,$B74)&gt;1,"ID REPETIDO",IF($E74="","FALTA DESCRIPCIÓN",IF($K74="","FALTA TIPO",IF(AND($K74&lt;&gt;"A",$J74=""),"FALTA TIEMPO",IF(AND($K74="T",OR($G74="",$H74="",$I74="")),"REVISAR TRANSPORTE",IF($U74="REVISAR","REVISAR PRECEDENCIA","OK"))))))))</x:f>
      </x:c>
    </x:row>
    <x:row r="75" ht="24" customHeight="1">
      <x:c r="A75" s="326" t="str">
        <x:f>IF($E75="","",COUNTA($E$19:E75))</x:f>
      </x:c>
      <x:c r="B75" s="327"/>
      <x:c r="C75" s="327"/>
      <x:c r="D75" s="327"/>
      <x:c r="E75" s="328"/>
      <x:c r="F75" s="328"/>
      <x:c r="G75" s="328"/>
      <x:c r="H75" s="328"/>
      <x:c r="I75" s="329"/>
      <x:c r="J75" s="329"/>
      <x:c r="K75" s="327"/>
      <x:c r="L75" s="330" t="str">
        <x:f>IF($K75="O", "●", "")</x:f>
      </x:c>
      <x:c r="M75" s="331" t="str">
        <x:f>IF($K75="T", "➜", "")</x:f>
      </x:c>
      <x:c r="N75" s="332" t="str">
        <x:f>IF($K75="I", "■", "")</x:f>
      </x:c>
      <x:c r="O75" s="333" t="str">
        <x:f>IF($K75="E", "D", "")</x:f>
      </x:c>
      <x:c r="P75" s="334" t="str">
        <x:f>IF($K75="A", "▼", "")</x:f>
      </x:c>
      <x:c r="Q75" s="335"/>
      <x:c r="R75" s="335"/>
      <x:c r="S75" s="335"/>
      <x:c r="T75" s="335"/>
      <x:c r="U75" s="336" t="str">
        <x:f>IF(OR($B75="",$E75="",$K75="",AND($K75&lt;&gt;"A",$J75="")),"",IF(OR(AND($Q75&lt;&gt;"",COUNTIF($B$19:$B74,$Q75)=0),AND($R75&lt;&gt;"",COUNTIF($B$19:$B74,$R75)=0),AND($S75&lt;&gt;"",COUNTIF($B$19:$B74,$S75)=0),AND($T75&lt;&gt;"",COUNTIF($B$19:$B74,$T75)=0)),"REVISAR",MAX(IFERROR(INDEX($V$19:$V74,MATCH($Q75,$B$19:$B74,0)),0),IFERROR(INDEX($V$19:$V74,MATCH($R75,$B$19:$B74,0)),0),IFERROR(INDEX($V$19:$V74,MATCH($S75,$B$19:$B74,0)),0),IFERROR(INDEX($V$19:$V74,MATCH($T75,$B$19:$B74,0)),0))))</x:f>
      </x:c>
      <x:c r="V75" s="336" t="str">
        <x:f>IF(ISNUMBER($U75),$U75+IF($J75="",0,$J75),"")</x:f>
      </x:c>
      <x:c r="W75" s="337"/>
      <x:c r="X75" s="338" t="str">
        <x:f>IF(COUNTA($B75:$K75)+COUNTA($Q75:$T75)+COUNTA($W75)=0,"",IF($B75="","FALTA ID",IF(COUNTIF($B$19:$B$118,$B75)&gt;1,"ID REPETIDO",IF($E75="","FALTA DESCRIPCIÓN",IF($K75="","FALTA TIPO",IF(AND($K75&lt;&gt;"A",$J75=""),"FALTA TIEMPO",IF(AND($K75="T",OR($G75="",$H75="",$I75="")),"REVISAR TRANSPORTE",IF($U75="REVISAR","REVISAR PRECEDENCIA","OK"))))))))</x:f>
      </x:c>
    </x:row>
    <x:row r="76" ht="24" customHeight="1">
      <x:c r="A76" s="326" t="str">
        <x:f>IF($E76="","",COUNTA($E$19:E76))</x:f>
      </x:c>
      <x:c r="B76" s="327"/>
      <x:c r="C76" s="327"/>
      <x:c r="D76" s="327"/>
      <x:c r="E76" s="328"/>
      <x:c r="F76" s="328"/>
      <x:c r="G76" s="328"/>
      <x:c r="H76" s="328"/>
      <x:c r="I76" s="329"/>
      <x:c r="J76" s="329"/>
      <x:c r="K76" s="327"/>
      <x:c r="L76" s="330" t="str">
        <x:f>IF($K76="O", "●", "")</x:f>
      </x:c>
      <x:c r="M76" s="331" t="str">
        <x:f>IF($K76="T", "➜", "")</x:f>
      </x:c>
      <x:c r="N76" s="332" t="str">
        <x:f>IF($K76="I", "■", "")</x:f>
      </x:c>
      <x:c r="O76" s="333" t="str">
        <x:f>IF($K76="E", "D", "")</x:f>
      </x:c>
      <x:c r="P76" s="334" t="str">
        <x:f>IF($K76="A", "▼", "")</x:f>
      </x:c>
      <x:c r="Q76" s="335"/>
      <x:c r="R76" s="335"/>
      <x:c r="S76" s="335"/>
      <x:c r="T76" s="335"/>
      <x:c r="U76" s="336" t="str">
        <x:f>IF(OR($B76="",$E76="",$K76="",AND($K76&lt;&gt;"A",$J76="")),"",IF(OR(AND($Q76&lt;&gt;"",COUNTIF($B$19:$B75,$Q76)=0),AND($R76&lt;&gt;"",COUNTIF($B$19:$B75,$R76)=0),AND($S76&lt;&gt;"",COUNTIF($B$19:$B75,$S76)=0),AND($T76&lt;&gt;"",COUNTIF($B$19:$B75,$T76)=0)),"REVISAR",MAX(IFERROR(INDEX($V$19:$V75,MATCH($Q76,$B$19:$B75,0)),0),IFERROR(INDEX($V$19:$V75,MATCH($R76,$B$19:$B75,0)),0),IFERROR(INDEX($V$19:$V75,MATCH($S76,$B$19:$B75,0)),0),IFERROR(INDEX($V$19:$V75,MATCH($T76,$B$19:$B75,0)),0))))</x:f>
      </x:c>
      <x:c r="V76" s="336" t="str">
        <x:f>IF(ISNUMBER($U76),$U76+IF($J76="",0,$J76),"")</x:f>
      </x:c>
      <x:c r="W76" s="337"/>
      <x:c r="X76" s="338" t="str">
        <x:f>IF(COUNTA($B76:$K76)+COUNTA($Q76:$T76)+COUNTA($W76)=0,"",IF($B76="","FALTA ID",IF(COUNTIF($B$19:$B$118,$B76)&gt;1,"ID REPETIDO",IF($E76="","FALTA DESCRIPCIÓN",IF($K76="","FALTA TIPO",IF(AND($K76&lt;&gt;"A",$J76=""),"FALTA TIEMPO",IF(AND($K76="T",OR($G76="",$H76="",$I76="")),"REVISAR TRANSPORTE",IF($U76="REVISAR","REVISAR PRECEDENCIA","OK"))))))))</x:f>
      </x:c>
    </x:row>
    <x:row r="77" ht="24" customHeight="1">
      <x:c r="A77" s="326" t="str">
        <x:f>IF($E77="","",COUNTA($E$19:E77))</x:f>
      </x:c>
      <x:c r="B77" s="327"/>
      <x:c r="C77" s="327"/>
      <x:c r="D77" s="327"/>
      <x:c r="E77" s="328"/>
      <x:c r="F77" s="328"/>
      <x:c r="G77" s="328"/>
      <x:c r="H77" s="328"/>
      <x:c r="I77" s="329"/>
      <x:c r="J77" s="329"/>
      <x:c r="K77" s="327"/>
      <x:c r="L77" s="330" t="str">
        <x:f>IF($K77="O", "●", "")</x:f>
      </x:c>
      <x:c r="M77" s="331" t="str">
        <x:f>IF($K77="T", "➜", "")</x:f>
      </x:c>
      <x:c r="N77" s="332" t="str">
        <x:f>IF($K77="I", "■", "")</x:f>
      </x:c>
      <x:c r="O77" s="333" t="str">
        <x:f>IF($K77="E", "D", "")</x:f>
      </x:c>
      <x:c r="P77" s="334" t="str">
        <x:f>IF($K77="A", "▼", "")</x:f>
      </x:c>
      <x:c r="Q77" s="335"/>
      <x:c r="R77" s="335"/>
      <x:c r="S77" s="335"/>
      <x:c r="T77" s="335"/>
      <x:c r="U77" s="336" t="str">
        <x:f>IF(OR($B77="",$E77="",$K77="",AND($K77&lt;&gt;"A",$J77="")),"",IF(OR(AND($Q77&lt;&gt;"",COUNTIF($B$19:$B76,$Q77)=0),AND($R77&lt;&gt;"",COUNTIF($B$19:$B76,$R77)=0),AND($S77&lt;&gt;"",COUNTIF($B$19:$B76,$S77)=0),AND($T77&lt;&gt;"",COUNTIF($B$19:$B76,$T77)=0)),"REVISAR",MAX(IFERROR(INDEX($V$19:$V76,MATCH($Q77,$B$19:$B76,0)),0),IFERROR(INDEX($V$19:$V76,MATCH($R77,$B$19:$B76,0)),0),IFERROR(INDEX($V$19:$V76,MATCH($S77,$B$19:$B76,0)),0),IFERROR(INDEX($V$19:$V76,MATCH($T77,$B$19:$B76,0)),0))))</x:f>
      </x:c>
      <x:c r="V77" s="336" t="str">
        <x:f>IF(ISNUMBER($U77),$U77+IF($J77="",0,$J77),"")</x:f>
      </x:c>
      <x:c r="W77" s="337"/>
      <x:c r="X77" s="338" t="str">
        <x:f>IF(COUNTA($B77:$K77)+COUNTA($Q77:$T77)+COUNTA($W77)=0,"",IF($B77="","FALTA ID",IF(COUNTIF($B$19:$B$118,$B77)&gt;1,"ID REPETIDO",IF($E77="","FALTA DESCRIPCIÓN",IF($K77="","FALTA TIPO",IF(AND($K77&lt;&gt;"A",$J77=""),"FALTA TIEMPO",IF(AND($K77="T",OR($G77="",$H77="",$I77="")),"REVISAR TRANSPORTE",IF($U77="REVISAR","REVISAR PRECEDENCIA","OK"))))))))</x:f>
      </x:c>
    </x:row>
    <x:row r="78" ht="24" customHeight="1">
      <x:c r="A78" s="326" t="str">
        <x:f>IF($E78="","",COUNTA($E$19:E78))</x:f>
      </x:c>
      <x:c r="B78" s="327"/>
      <x:c r="C78" s="327"/>
      <x:c r="D78" s="327"/>
      <x:c r="E78" s="328"/>
      <x:c r="F78" s="328"/>
      <x:c r="G78" s="328"/>
      <x:c r="H78" s="328"/>
      <x:c r="I78" s="329"/>
      <x:c r="J78" s="329"/>
      <x:c r="K78" s="327"/>
      <x:c r="L78" s="330" t="str">
        <x:f>IF($K78="O", "●", "")</x:f>
      </x:c>
      <x:c r="M78" s="331" t="str">
        <x:f>IF($K78="T", "➜", "")</x:f>
      </x:c>
      <x:c r="N78" s="332" t="str">
        <x:f>IF($K78="I", "■", "")</x:f>
      </x:c>
      <x:c r="O78" s="333" t="str">
        <x:f>IF($K78="E", "D", "")</x:f>
      </x:c>
      <x:c r="P78" s="334" t="str">
        <x:f>IF($K78="A", "▼", "")</x:f>
      </x:c>
      <x:c r="Q78" s="335"/>
      <x:c r="R78" s="335"/>
      <x:c r="S78" s="335"/>
      <x:c r="T78" s="335"/>
      <x:c r="U78" s="336" t="str">
        <x:f>IF(OR($B78="",$E78="",$K78="",AND($K78&lt;&gt;"A",$J78="")),"",IF(OR(AND($Q78&lt;&gt;"",COUNTIF($B$19:$B77,$Q78)=0),AND($R78&lt;&gt;"",COUNTIF($B$19:$B77,$R78)=0),AND($S78&lt;&gt;"",COUNTIF($B$19:$B77,$S78)=0),AND($T78&lt;&gt;"",COUNTIF($B$19:$B77,$T78)=0)),"REVISAR",MAX(IFERROR(INDEX($V$19:$V77,MATCH($Q78,$B$19:$B77,0)),0),IFERROR(INDEX($V$19:$V77,MATCH($R78,$B$19:$B77,0)),0),IFERROR(INDEX($V$19:$V77,MATCH($S78,$B$19:$B77,0)),0),IFERROR(INDEX($V$19:$V77,MATCH($T78,$B$19:$B77,0)),0))))</x:f>
      </x:c>
      <x:c r="V78" s="336" t="str">
        <x:f>IF(ISNUMBER($U78),$U78+IF($J78="",0,$J78),"")</x:f>
      </x:c>
      <x:c r="W78" s="337"/>
      <x:c r="X78" s="338" t="str">
        <x:f>IF(COUNTA($B78:$K78)+COUNTA($Q78:$T78)+COUNTA($W78)=0,"",IF($B78="","FALTA ID",IF(COUNTIF($B$19:$B$118,$B78)&gt;1,"ID REPETIDO",IF($E78="","FALTA DESCRIPCIÓN",IF($K78="","FALTA TIPO",IF(AND($K78&lt;&gt;"A",$J78=""),"FALTA TIEMPO",IF(AND($K78="T",OR($G78="",$H78="",$I78="")),"REVISAR TRANSPORTE",IF($U78="REVISAR","REVISAR PRECEDENCIA","OK"))))))))</x:f>
      </x:c>
    </x:row>
    <x:row r="79" ht="24" customHeight="1">
      <x:c r="A79" s="326" t="str">
        <x:f>IF($E79="","",COUNTA($E$19:E79))</x:f>
      </x:c>
      <x:c r="B79" s="327"/>
      <x:c r="C79" s="327"/>
      <x:c r="D79" s="327"/>
      <x:c r="E79" s="328"/>
      <x:c r="F79" s="328"/>
      <x:c r="G79" s="328"/>
      <x:c r="H79" s="328"/>
      <x:c r="I79" s="329"/>
      <x:c r="J79" s="329"/>
      <x:c r="K79" s="327"/>
      <x:c r="L79" s="330" t="str">
        <x:f>IF($K79="O", "●", "")</x:f>
      </x:c>
      <x:c r="M79" s="331" t="str">
        <x:f>IF($K79="T", "➜", "")</x:f>
      </x:c>
      <x:c r="N79" s="332" t="str">
        <x:f>IF($K79="I", "■", "")</x:f>
      </x:c>
      <x:c r="O79" s="333" t="str">
        <x:f>IF($K79="E", "D", "")</x:f>
      </x:c>
      <x:c r="P79" s="334" t="str">
        <x:f>IF($K79="A", "▼", "")</x:f>
      </x:c>
      <x:c r="Q79" s="335"/>
      <x:c r="R79" s="335"/>
      <x:c r="S79" s="335"/>
      <x:c r="T79" s="335"/>
      <x:c r="U79" s="336" t="str">
        <x:f>IF(OR($B79="",$E79="",$K79="",AND($K79&lt;&gt;"A",$J79="")),"",IF(OR(AND($Q79&lt;&gt;"",COUNTIF($B$19:$B78,$Q79)=0),AND($R79&lt;&gt;"",COUNTIF($B$19:$B78,$R79)=0),AND($S79&lt;&gt;"",COUNTIF($B$19:$B78,$S79)=0),AND($T79&lt;&gt;"",COUNTIF($B$19:$B78,$T79)=0)),"REVISAR",MAX(IFERROR(INDEX($V$19:$V78,MATCH($Q79,$B$19:$B78,0)),0),IFERROR(INDEX($V$19:$V78,MATCH($R79,$B$19:$B78,0)),0),IFERROR(INDEX($V$19:$V78,MATCH($S79,$B$19:$B78,0)),0),IFERROR(INDEX($V$19:$V78,MATCH($T79,$B$19:$B78,0)),0))))</x:f>
      </x:c>
      <x:c r="V79" s="336" t="str">
        <x:f>IF(ISNUMBER($U79),$U79+IF($J79="",0,$J79),"")</x:f>
      </x:c>
      <x:c r="W79" s="337"/>
      <x:c r="X79" s="338" t="str">
        <x:f>IF(COUNTA($B79:$K79)+COUNTA($Q79:$T79)+COUNTA($W79)=0,"",IF($B79="","FALTA ID",IF(COUNTIF($B$19:$B$118,$B79)&gt;1,"ID REPETIDO",IF($E79="","FALTA DESCRIPCIÓN",IF($K79="","FALTA TIPO",IF(AND($K79&lt;&gt;"A",$J79=""),"FALTA TIEMPO",IF(AND($K79="T",OR($G79="",$H79="",$I79="")),"REVISAR TRANSPORTE",IF($U79="REVISAR","REVISAR PRECEDENCIA","OK"))))))))</x:f>
      </x:c>
    </x:row>
    <x:row r="80" ht="24" customHeight="1">
      <x:c r="A80" s="326" t="str">
        <x:f>IF($E80="","",COUNTA($E$19:E80))</x:f>
      </x:c>
      <x:c r="B80" s="327"/>
      <x:c r="C80" s="327"/>
      <x:c r="D80" s="327"/>
      <x:c r="E80" s="328"/>
      <x:c r="F80" s="328"/>
      <x:c r="G80" s="328"/>
      <x:c r="H80" s="328"/>
      <x:c r="I80" s="329"/>
      <x:c r="J80" s="329"/>
      <x:c r="K80" s="327"/>
      <x:c r="L80" s="330" t="str">
        <x:f>IF($K80="O", "●", "")</x:f>
      </x:c>
      <x:c r="M80" s="331" t="str">
        <x:f>IF($K80="T", "➜", "")</x:f>
      </x:c>
      <x:c r="N80" s="332" t="str">
        <x:f>IF($K80="I", "■", "")</x:f>
      </x:c>
      <x:c r="O80" s="333" t="str">
        <x:f>IF($K80="E", "D", "")</x:f>
      </x:c>
      <x:c r="P80" s="334" t="str">
        <x:f>IF($K80="A", "▼", "")</x:f>
      </x:c>
      <x:c r="Q80" s="335"/>
      <x:c r="R80" s="335"/>
      <x:c r="S80" s="335"/>
      <x:c r="T80" s="335"/>
      <x:c r="U80" s="336" t="str">
        <x:f>IF(OR($B80="",$E80="",$K80="",AND($K80&lt;&gt;"A",$J80="")),"",IF(OR(AND($Q80&lt;&gt;"",COUNTIF($B$19:$B79,$Q80)=0),AND($R80&lt;&gt;"",COUNTIF($B$19:$B79,$R80)=0),AND($S80&lt;&gt;"",COUNTIF($B$19:$B79,$S80)=0),AND($T80&lt;&gt;"",COUNTIF($B$19:$B79,$T80)=0)),"REVISAR",MAX(IFERROR(INDEX($V$19:$V79,MATCH($Q80,$B$19:$B79,0)),0),IFERROR(INDEX($V$19:$V79,MATCH($R80,$B$19:$B79,0)),0),IFERROR(INDEX($V$19:$V79,MATCH($S80,$B$19:$B79,0)),0),IFERROR(INDEX($V$19:$V79,MATCH($T80,$B$19:$B79,0)),0))))</x:f>
      </x:c>
      <x:c r="V80" s="336" t="str">
        <x:f>IF(ISNUMBER($U80),$U80+IF($J80="",0,$J80),"")</x:f>
      </x:c>
      <x:c r="W80" s="337"/>
      <x:c r="X80" s="338" t="str">
        <x:f>IF(COUNTA($B80:$K80)+COUNTA($Q80:$T80)+COUNTA($W80)=0,"",IF($B80="","FALTA ID",IF(COUNTIF($B$19:$B$118,$B80)&gt;1,"ID REPETIDO",IF($E80="","FALTA DESCRIPCIÓN",IF($K80="","FALTA TIPO",IF(AND($K80&lt;&gt;"A",$J80=""),"FALTA TIEMPO",IF(AND($K80="T",OR($G80="",$H80="",$I80="")),"REVISAR TRANSPORTE",IF($U80="REVISAR","REVISAR PRECEDENCIA","OK"))))))))</x:f>
      </x:c>
    </x:row>
    <x:row r="81" ht="24" customHeight="1">
      <x:c r="A81" s="326" t="str">
        <x:f>IF($E81="","",COUNTA($E$19:E81))</x:f>
      </x:c>
      <x:c r="B81" s="327"/>
      <x:c r="C81" s="327"/>
      <x:c r="D81" s="327"/>
      <x:c r="E81" s="328"/>
      <x:c r="F81" s="328"/>
      <x:c r="G81" s="328"/>
      <x:c r="H81" s="328"/>
      <x:c r="I81" s="329"/>
      <x:c r="J81" s="329"/>
      <x:c r="K81" s="327"/>
      <x:c r="L81" s="330" t="str">
        <x:f>IF($K81="O", "●", "")</x:f>
      </x:c>
      <x:c r="M81" s="331" t="str">
        <x:f>IF($K81="T", "➜", "")</x:f>
      </x:c>
      <x:c r="N81" s="332" t="str">
        <x:f>IF($K81="I", "■", "")</x:f>
      </x:c>
      <x:c r="O81" s="333" t="str">
        <x:f>IF($K81="E", "D", "")</x:f>
      </x:c>
      <x:c r="P81" s="334" t="str">
        <x:f>IF($K81="A", "▼", "")</x:f>
      </x:c>
      <x:c r="Q81" s="335"/>
      <x:c r="R81" s="335"/>
      <x:c r="S81" s="335"/>
      <x:c r="T81" s="335"/>
      <x:c r="U81" s="336" t="str">
        <x:f>IF(OR($B81="",$E81="",$K81="",AND($K81&lt;&gt;"A",$J81="")),"",IF(OR(AND($Q81&lt;&gt;"",COUNTIF($B$19:$B80,$Q81)=0),AND($R81&lt;&gt;"",COUNTIF($B$19:$B80,$R81)=0),AND($S81&lt;&gt;"",COUNTIF($B$19:$B80,$S81)=0),AND($T81&lt;&gt;"",COUNTIF($B$19:$B80,$T81)=0)),"REVISAR",MAX(IFERROR(INDEX($V$19:$V80,MATCH($Q81,$B$19:$B80,0)),0),IFERROR(INDEX($V$19:$V80,MATCH($R81,$B$19:$B80,0)),0),IFERROR(INDEX($V$19:$V80,MATCH($S81,$B$19:$B80,0)),0),IFERROR(INDEX($V$19:$V80,MATCH($T81,$B$19:$B80,0)),0))))</x:f>
      </x:c>
      <x:c r="V81" s="336" t="str">
        <x:f>IF(ISNUMBER($U81),$U81+IF($J81="",0,$J81),"")</x:f>
      </x:c>
      <x:c r="W81" s="337"/>
      <x:c r="X81" s="338" t="str">
        <x:f>IF(COUNTA($B81:$K81)+COUNTA($Q81:$T81)+COUNTA($W81)=0,"",IF($B81="","FALTA ID",IF(COUNTIF($B$19:$B$118,$B81)&gt;1,"ID REPETIDO",IF($E81="","FALTA DESCRIPCIÓN",IF($K81="","FALTA TIPO",IF(AND($K81&lt;&gt;"A",$J81=""),"FALTA TIEMPO",IF(AND($K81="T",OR($G81="",$H81="",$I81="")),"REVISAR TRANSPORTE",IF($U81="REVISAR","REVISAR PRECEDENCIA","OK"))))))))</x:f>
      </x:c>
    </x:row>
    <x:row r="82" ht="24" customHeight="1">
      <x:c r="A82" s="326" t="str">
        <x:f>IF($E82="","",COUNTA($E$19:E82))</x:f>
      </x:c>
      <x:c r="B82" s="327"/>
      <x:c r="C82" s="327"/>
      <x:c r="D82" s="327"/>
      <x:c r="E82" s="328"/>
      <x:c r="F82" s="328"/>
      <x:c r="G82" s="328"/>
      <x:c r="H82" s="328"/>
      <x:c r="I82" s="329"/>
      <x:c r="J82" s="329"/>
      <x:c r="K82" s="327"/>
      <x:c r="L82" s="330" t="str">
        <x:f>IF($K82="O", "●", "")</x:f>
      </x:c>
      <x:c r="M82" s="331" t="str">
        <x:f>IF($K82="T", "➜", "")</x:f>
      </x:c>
      <x:c r="N82" s="332" t="str">
        <x:f>IF($K82="I", "■", "")</x:f>
      </x:c>
      <x:c r="O82" s="333" t="str">
        <x:f>IF($K82="E", "D", "")</x:f>
      </x:c>
      <x:c r="P82" s="334" t="str">
        <x:f>IF($K82="A", "▼", "")</x:f>
      </x:c>
      <x:c r="Q82" s="335"/>
      <x:c r="R82" s="335"/>
      <x:c r="S82" s="335"/>
      <x:c r="T82" s="335"/>
      <x:c r="U82" s="336" t="str">
        <x:f>IF(OR($B82="",$E82="",$K82="",AND($K82&lt;&gt;"A",$J82="")),"",IF(OR(AND($Q82&lt;&gt;"",COUNTIF($B$19:$B81,$Q82)=0),AND($R82&lt;&gt;"",COUNTIF($B$19:$B81,$R82)=0),AND($S82&lt;&gt;"",COUNTIF($B$19:$B81,$S82)=0),AND($T82&lt;&gt;"",COUNTIF($B$19:$B81,$T82)=0)),"REVISAR",MAX(IFERROR(INDEX($V$19:$V81,MATCH($Q82,$B$19:$B81,0)),0),IFERROR(INDEX($V$19:$V81,MATCH($R82,$B$19:$B81,0)),0),IFERROR(INDEX($V$19:$V81,MATCH($S82,$B$19:$B81,0)),0),IFERROR(INDEX($V$19:$V81,MATCH($T82,$B$19:$B81,0)),0))))</x:f>
      </x:c>
      <x:c r="V82" s="336" t="str">
        <x:f>IF(ISNUMBER($U82),$U82+IF($J82="",0,$J82),"")</x:f>
      </x:c>
      <x:c r="W82" s="337"/>
      <x:c r="X82" s="338" t="str">
        <x:f>IF(COUNTA($B82:$K82)+COUNTA($Q82:$T82)+COUNTA($W82)=0,"",IF($B82="","FALTA ID",IF(COUNTIF($B$19:$B$118,$B82)&gt;1,"ID REPETIDO",IF($E82="","FALTA DESCRIPCIÓN",IF($K82="","FALTA TIPO",IF(AND($K82&lt;&gt;"A",$J82=""),"FALTA TIEMPO",IF(AND($K82="T",OR($G82="",$H82="",$I82="")),"REVISAR TRANSPORTE",IF($U82="REVISAR","REVISAR PRECEDENCIA","OK"))))))))</x:f>
      </x:c>
    </x:row>
    <x:row r="83" ht="24" customHeight="1">
      <x:c r="A83" s="326" t="str">
        <x:f>IF($E83="","",COUNTA($E$19:E83))</x:f>
      </x:c>
      <x:c r="B83" s="327"/>
      <x:c r="C83" s="327"/>
      <x:c r="D83" s="327"/>
      <x:c r="E83" s="328"/>
      <x:c r="F83" s="328"/>
      <x:c r="G83" s="328"/>
      <x:c r="H83" s="328"/>
      <x:c r="I83" s="329"/>
      <x:c r="J83" s="329"/>
      <x:c r="K83" s="327"/>
      <x:c r="L83" s="330" t="str">
        <x:f>IF($K83="O", "●", "")</x:f>
      </x:c>
      <x:c r="M83" s="331" t="str">
        <x:f>IF($K83="T", "➜", "")</x:f>
      </x:c>
      <x:c r="N83" s="332" t="str">
        <x:f>IF($K83="I", "■", "")</x:f>
      </x:c>
      <x:c r="O83" s="333" t="str">
        <x:f>IF($K83="E", "D", "")</x:f>
      </x:c>
      <x:c r="P83" s="334" t="str">
        <x:f>IF($K83="A", "▼", "")</x:f>
      </x:c>
      <x:c r="Q83" s="335"/>
      <x:c r="R83" s="335"/>
      <x:c r="S83" s="335"/>
      <x:c r="T83" s="335"/>
      <x:c r="U83" s="336" t="str">
        <x:f>IF(OR($B83="",$E83="",$K83="",AND($K83&lt;&gt;"A",$J83="")),"",IF(OR(AND($Q83&lt;&gt;"",COUNTIF($B$19:$B82,$Q83)=0),AND($R83&lt;&gt;"",COUNTIF($B$19:$B82,$R83)=0),AND($S83&lt;&gt;"",COUNTIF($B$19:$B82,$S83)=0),AND($T83&lt;&gt;"",COUNTIF($B$19:$B82,$T83)=0)),"REVISAR",MAX(IFERROR(INDEX($V$19:$V82,MATCH($Q83,$B$19:$B82,0)),0),IFERROR(INDEX($V$19:$V82,MATCH($R83,$B$19:$B82,0)),0),IFERROR(INDEX($V$19:$V82,MATCH($S83,$B$19:$B82,0)),0),IFERROR(INDEX($V$19:$V82,MATCH($T83,$B$19:$B82,0)),0))))</x:f>
      </x:c>
      <x:c r="V83" s="336" t="str">
        <x:f>IF(ISNUMBER($U83),$U83+IF($J83="",0,$J83),"")</x:f>
      </x:c>
      <x:c r="W83" s="337"/>
      <x:c r="X83" s="338" t="str">
        <x:f>IF(COUNTA($B83:$K83)+COUNTA($Q83:$T83)+COUNTA($W83)=0,"",IF($B83="","FALTA ID",IF(COUNTIF($B$19:$B$118,$B83)&gt;1,"ID REPETIDO",IF($E83="","FALTA DESCRIPCIÓN",IF($K83="","FALTA TIPO",IF(AND($K83&lt;&gt;"A",$J83=""),"FALTA TIEMPO",IF(AND($K83="T",OR($G83="",$H83="",$I83="")),"REVISAR TRANSPORTE",IF($U83="REVISAR","REVISAR PRECEDENCIA","OK"))))))))</x:f>
      </x:c>
    </x:row>
    <x:row r="84" ht="24" customHeight="1">
      <x:c r="A84" s="326" t="str">
        <x:f>IF($E84="","",COUNTA($E$19:E84))</x:f>
      </x:c>
      <x:c r="B84" s="327"/>
      <x:c r="C84" s="327"/>
      <x:c r="D84" s="327"/>
      <x:c r="E84" s="328"/>
      <x:c r="F84" s="328"/>
      <x:c r="G84" s="328"/>
      <x:c r="H84" s="328"/>
      <x:c r="I84" s="329"/>
      <x:c r="J84" s="329"/>
      <x:c r="K84" s="327"/>
      <x:c r="L84" s="330" t="str">
        <x:f>IF($K84="O", "●", "")</x:f>
      </x:c>
      <x:c r="M84" s="331" t="str">
        <x:f>IF($K84="T", "➜", "")</x:f>
      </x:c>
      <x:c r="N84" s="332" t="str">
        <x:f>IF($K84="I", "■", "")</x:f>
      </x:c>
      <x:c r="O84" s="333" t="str">
        <x:f>IF($K84="E", "D", "")</x:f>
      </x:c>
      <x:c r="P84" s="334" t="str">
        <x:f>IF($K84="A", "▼", "")</x:f>
      </x:c>
      <x:c r="Q84" s="335"/>
      <x:c r="R84" s="335"/>
      <x:c r="S84" s="335"/>
      <x:c r="T84" s="335"/>
      <x:c r="U84" s="336" t="str">
        <x:f>IF(OR($B84="",$E84="",$K84="",AND($K84&lt;&gt;"A",$J84="")),"",IF(OR(AND($Q84&lt;&gt;"",COUNTIF($B$19:$B83,$Q84)=0),AND($R84&lt;&gt;"",COUNTIF($B$19:$B83,$R84)=0),AND($S84&lt;&gt;"",COUNTIF($B$19:$B83,$S84)=0),AND($T84&lt;&gt;"",COUNTIF($B$19:$B83,$T84)=0)),"REVISAR",MAX(IFERROR(INDEX($V$19:$V83,MATCH($Q84,$B$19:$B83,0)),0),IFERROR(INDEX($V$19:$V83,MATCH($R84,$B$19:$B83,0)),0),IFERROR(INDEX($V$19:$V83,MATCH($S84,$B$19:$B83,0)),0),IFERROR(INDEX($V$19:$V83,MATCH($T84,$B$19:$B83,0)),0))))</x:f>
      </x:c>
      <x:c r="V84" s="336" t="str">
        <x:f>IF(ISNUMBER($U84),$U84+IF($J84="",0,$J84),"")</x:f>
      </x:c>
      <x:c r="W84" s="337"/>
      <x:c r="X84" s="338" t="str">
        <x:f>IF(COUNTA($B84:$K84)+COUNTA($Q84:$T84)+COUNTA($W84)=0,"",IF($B84="","FALTA ID",IF(COUNTIF($B$19:$B$118,$B84)&gt;1,"ID REPETIDO",IF($E84="","FALTA DESCRIPCIÓN",IF($K84="","FALTA TIPO",IF(AND($K84&lt;&gt;"A",$J84=""),"FALTA TIEMPO",IF(AND($K84="T",OR($G84="",$H84="",$I84="")),"REVISAR TRANSPORTE",IF($U84="REVISAR","REVISAR PRECEDENCIA","OK"))))))))</x:f>
      </x:c>
    </x:row>
    <x:row r="85" ht="24" customHeight="1">
      <x:c r="A85" s="326" t="str">
        <x:f>IF($E85="","",COUNTA($E$19:E85))</x:f>
      </x:c>
      <x:c r="B85" s="327"/>
      <x:c r="C85" s="327"/>
      <x:c r="D85" s="327"/>
      <x:c r="E85" s="328"/>
      <x:c r="F85" s="328"/>
      <x:c r="G85" s="328"/>
      <x:c r="H85" s="328"/>
      <x:c r="I85" s="329"/>
      <x:c r="J85" s="329"/>
      <x:c r="K85" s="327"/>
      <x:c r="L85" s="330" t="str">
        <x:f>IF($K85="O", "●", "")</x:f>
      </x:c>
      <x:c r="M85" s="331" t="str">
        <x:f>IF($K85="T", "➜", "")</x:f>
      </x:c>
      <x:c r="N85" s="332" t="str">
        <x:f>IF($K85="I", "■", "")</x:f>
      </x:c>
      <x:c r="O85" s="333" t="str">
        <x:f>IF($K85="E", "D", "")</x:f>
      </x:c>
      <x:c r="P85" s="334" t="str">
        <x:f>IF($K85="A", "▼", "")</x:f>
      </x:c>
      <x:c r="Q85" s="335"/>
      <x:c r="R85" s="335"/>
      <x:c r="S85" s="335"/>
      <x:c r="T85" s="335"/>
      <x:c r="U85" s="336" t="str">
        <x:f>IF(OR($B85="",$E85="",$K85="",AND($K85&lt;&gt;"A",$J85="")),"",IF(OR(AND($Q85&lt;&gt;"",COUNTIF($B$19:$B84,$Q85)=0),AND($R85&lt;&gt;"",COUNTIF($B$19:$B84,$R85)=0),AND($S85&lt;&gt;"",COUNTIF($B$19:$B84,$S85)=0),AND($T85&lt;&gt;"",COUNTIF($B$19:$B84,$T85)=0)),"REVISAR",MAX(IFERROR(INDEX($V$19:$V84,MATCH($Q85,$B$19:$B84,0)),0),IFERROR(INDEX($V$19:$V84,MATCH($R85,$B$19:$B84,0)),0),IFERROR(INDEX($V$19:$V84,MATCH($S85,$B$19:$B84,0)),0),IFERROR(INDEX($V$19:$V84,MATCH($T85,$B$19:$B84,0)),0))))</x:f>
      </x:c>
      <x:c r="V85" s="336" t="str">
        <x:f>IF(ISNUMBER($U85),$U85+IF($J85="",0,$J85),"")</x:f>
      </x:c>
      <x:c r="W85" s="337"/>
      <x:c r="X85" s="338" t="str">
        <x:f>IF(COUNTA($B85:$K85)+COUNTA($Q85:$T85)+COUNTA($W85)=0,"",IF($B85="","FALTA ID",IF(COUNTIF($B$19:$B$118,$B85)&gt;1,"ID REPETIDO",IF($E85="","FALTA DESCRIPCIÓN",IF($K85="","FALTA TIPO",IF(AND($K85&lt;&gt;"A",$J85=""),"FALTA TIEMPO",IF(AND($K85="T",OR($G85="",$H85="",$I85="")),"REVISAR TRANSPORTE",IF($U85="REVISAR","REVISAR PRECEDENCIA","OK"))))))))</x:f>
      </x:c>
    </x:row>
    <x:row r="86" ht="24" customHeight="1">
      <x:c r="A86" s="326" t="str">
        <x:f>IF($E86="","",COUNTA($E$19:E86))</x:f>
      </x:c>
      <x:c r="B86" s="327"/>
      <x:c r="C86" s="327"/>
      <x:c r="D86" s="327"/>
      <x:c r="E86" s="328"/>
      <x:c r="F86" s="328"/>
      <x:c r="G86" s="328"/>
      <x:c r="H86" s="328"/>
      <x:c r="I86" s="329"/>
      <x:c r="J86" s="329"/>
      <x:c r="K86" s="327"/>
      <x:c r="L86" s="330" t="str">
        <x:f>IF($K86="O", "●", "")</x:f>
      </x:c>
      <x:c r="M86" s="331" t="str">
        <x:f>IF($K86="T", "➜", "")</x:f>
      </x:c>
      <x:c r="N86" s="332" t="str">
        <x:f>IF($K86="I", "■", "")</x:f>
      </x:c>
      <x:c r="O86" s="333" t="str">
        <x:f>IF($K86="E", "D", "")</x:f>
      </x:c>
      <x:c r="P86" s="334" t="str">
        <x:f>IF($K86="A", "▼", "")</x:f>
      </x:c>
      <x:c r="Q86" s="335"/>
      <x:c r="R86" s="335"/>
      <x:c r="S86" s="335"/>
      <x:c r="T86" s="335"/>
      <x:c r="U86" s="336" t="str">
        <x:f>IF(OR($B86="",$E86="",$K86="",AND($K86&lt;&gt;"A",$J86="")),"",IF(OR(AND($Q86&lt;&gt;"",COUNTIF($B$19:$B85,$Q86)=0),AND($R86&lt;&gt;"",COUNTIF($B$19:$B85,$R86)=0),AND($S86&lt;&gt;"",COUNTIF($B$19:$B85,$S86)=0),AND($T86&lt;&gt;"",COUNTIF($B$19:$B85,$T86)=0)),"REVISAR",MAX(IFERROR(INDEX($V$19:$V85,MATCH($Q86,$B$19:$B85,0)),0),IFERROR(INDEX($V$19:$V85,MATCH($R86,$B$19:$B85,0)),0),IFERROR(INDEX($V$19:$V85,MATCH($S86,$B$19:$B85,0)),0),IFERROR(INDEX($V$19:$V85,MATCH($T86,$B$19:$B85,0)),0))))</x:f>
      </x:c>
      <x:c r="V86" s="336" t="str">
        <x:f>IF(ISNUMBER($U86),$U86+IF($J86="",0,$J86),"")</x:f>
      </x:c>
      <x:c r="W86" s="337"/>
      <x:c r="X86" s="338" t="str">
        <x:f>IF(COUNTA($B86:$K86)+COUNTA($Q86:$T86)+COUNTA($W86)=0,"",IF($B86="","FALTA ID",IF(COUNTIF($B$19:$B$118,$B86)&gt;1,"ID REPETIDO",IF($E86="","FALTA DESCRIPCIÓN",IF($K86="","FALTA TIPO",IF(AND($K86&lt;&gt;"A",$J86=""),"FALTA TIEMPO",IF(AND($K86="T",OR($G86="",$H86="",$I86="")),"REVISAR TRANSPORTE",IF($U86="REVISAR","REVISAR PRECEDENCIA","OK"))))))))</x:f>
      </x:c>
    </x:row>
    <x:row r="87" ht="24" customHeight="1">
      <x:c r="A87" s="326" t="str">
        <x:f>IF($E87="","",COUNTA($E$19:E87))</x:f>
      </x:c>
      <x:c r="B87" s="327"/>
      <x:c r="C87" s="327"/>
      <x:c r="D87" s="327"/>
      <x:c r="E87" s="328"/>
      <x:c r="F87" s="328"/>
      <x:c r="G87" s="328"/>
      <x:c r="H87" s="328"/>
      <x:c r="I87" s="329"/>
      <x:c r="J87" s="329"/>
      <x:c r="K87" s="327"/>
      <x:c r="L87" s="330" t="str">
        <x:f>IF($K87="O", "●", "")</x:f>
      </x:c>
      <x:c r="M87" s="331" t="str">
        <x:f>IF($K87="T", "➜", "")</x:f>
      </x:c>
      <x:c r="N87" s="332" t="str">
        <x:f>IF($K87="I", "■", "")</x:f>
      </x:c>
      <x:c r="O87" s="333" t="str">
        <x:f>IF($K87="E", "D", "")</x:f>
      </x:c>
      <x:c r="P87" s="334" t="str">
        <x:f>IF($K87="A", "▼", "")</x:f>
      </x:c>
      <x:c r="Q87" s="335"/>
      <x:c r="R87" s="335"/>
      <x:c r="S87" s="335"/>
      <x:c r="T87" s="335"/>
      <x:c r="U87" s="336" t="str">
        <x:f>IF(OR($B87="",$E87="",$K87="",AND($K87&lt;&gt;"A",$J87="")),"",IF(OR(AND($Q87&lt;&gt;"",COUNTIF($B$19:$B86,$Q87)=0),AND($R87&lt;&gt;"",COUNTIF($B$19:$B86,$R87)=0),AND($S87&lt;&gt;"",COUNTIF($B$19:$B86,$S87)=0),AND($T87&lt;&gt;"",COUNTIF($B$19:$B86,$T87)=0)),"REVISAR",MAX(IFERROR(INDEX($V$19:$V86,MATCH($Q87,$B$19:$B86,0)),0),IFERROR(INDEX($V$19:$V86,MATCH($R87,$B$19:$B86,0)),0),IFERROR(INDEX($V$19:$V86,MATCH($S87,$B$19:$B86,0)),0),IFERROR(INDEX($V$19:$V86,MATCH($T87,$B$19:$B86,0)),0))))</x:f>
      </x:c>
      <x:c r="V87" s="336" t="str">
        <x:f>IF(ISNUMBER($U87),$U87+IF($J87="",0,$J87),"")</x:f>
      </x:c>
      <x:c r="W87" s="337"/>
      <x:c r="X87" s="338" t="str">
        <x:f>IF(COUNTA($B87:$K87)+COUNTA($Q87:$T87)+COUNTA($W87)=0,"",IF($B87="","FALTA ID",IF(COUNTIF($B$19:$B$118,$B87)&gt;1,"ID REPETIDO",IF($E87="","FALTA DESCRIPCIÓN",IF($K87="","FALTA TIPO",IF(AND($K87&lt;&gt;"A",$J87=""),"FALTA TIEMPO",IF(AND($K87="T",OR($G87="",$H87="",$I87="")),"REVISAR TRANSPORTE",IF($U87="REVISAR","REVISAR PRECEDENCIA","OK"))))))))</x:f>
      </x:c>
    </x:row>
    <x:row r="88" ht="24" customHeight="1">
      <x:c r="A88" s="326" t="str">
        <x:f>IF($E88="","",COUNTA($E$19:E88))</x:f>
      </x:c>
      <x:c r="B88" s="327"/>
      <x:c r="C88" s="327"/>
      <x:c r="D88" s="327"/>
      <x:c r="E88" s="328"/>
      <x:c r="F88" s="328"/>
      <x:c r="G88" s="328"/>
      <x:c r="H88" s="328"/>
      <x:c r="I88" s="329"/>
      <x:c r="J88" s="329"/>
      <x:c r="K88" s="327"/>
      <x:c r="L88" s="330" t="str">
        <x:f>IF($K88="O", "●", "")</x:f>
      </x:c>
      <x:c r="M88" s="331" t="str">
        <x:f>IF($K88="T", "➜", "")</x:f>
      </x:c>
      <x:c r="N88" s="332" t="str">
        <x:f>IF($K88="I", "■", "")</x:f>
      </x:c>
      <x:c r="O88" s="333" t="str">
        <x:f>IF($K88="E", "D", "")</x:f>
      </x:c>
      <x:c r="P88" s="334" t="str">
        <x:f>IF($K88="A", "▼", "")</x:f>
      </x:c>
      <x:c r="Q88" s="335"/>
      <x:c r="R88" s="335"/>
      <x:c r="S88" s="335"/>
      <x:c r="T88" s="335"/>
      <x:c r="U88" s="336" t="str">
        <x:f>IF(OR($B88="",$E88="",$K88="",AND($K88&lt;&gt;"A",$J88="")),"",IF(OR(AND($Q88&lt;&gt;"",COUNTIF($B$19:$B87,$Q88)=0),AND($R88&lt;&gt;"",COUNTIF($B$19:$B87,$R88)=0),AND($S88&lt;&gt;"",COUNTIF($B$19:$B87,$S88)=0),AND($T88&lt;&gt;"",COUNTIF($B$19:$B87,$T88)=0)),"REVISAR",MAX(IFERROR(INDEX($V$19:$V87,MATCH($Q88,$B$19:$B87,0)),0),IFERROR(INDEX($V$19:$V87,MATCH($R88,$B$19:$B87,0)),0),IFERROR(INDEX($V$19:$V87,MATCH($S88,$B$19:$B87,0)),0),IFERROR(INDEX($V$19:$V87,MATCH($T88,$B$19:$B87,0)),0))))</x:f>
      </x:c>
      <x:c r="V88" s="336" t="str">
        <x:f>IF(ISNUMBER($U88),$U88+IF($J88="",0,$J88),"")</x:f>
      </x:c>
      <x:c r="W88" s="337"/>
      <x:c r="X88" s="338" t="str">
        <x:f>IF(COUNTA($B88:$K88)+COUNTA($Q88:$T88)+COUNTA($W88)=0,"",IF($B88="","FALTA ID",IF(COUNTIF($B$19:$B$118,$B88)&gt;1,"ID REPETIDO",IF($E88="","FALTA DESCRIPCIÓN",IF($K88="","FALTA TIPO",IF(AND($K88&lt;&gt;"A",$J88=""),"FALTA TIEMPO",IF(AND($K88="T",OR($G88="",$H88="",$I88="")),"REVISAR TRANSPORTE",IF($U88="REVISAR","REVISAR PRECEDENCIA","OK"))))))))</x:f>
      </x:c>
    </x:row>
    <x:row r="89" ht="24" customHeight="1">
      <x:c r="A89" s="326" t="str">
        <x:f>IF($E89="","",COUNTA($E$19:E89))</x:f>
      </x:c>
      <x:c r="B89" s="327"/>
      <x:c r="C89" s="327"/>
      <x:c r="D89" s="327"/>
      <x:c r="E89" s="328"/>
      <x:c r="F89" s="328"/>
      <x:c r="G89" s="328"/>
      <x:c r="H89" s="328"/>
      <x:c r="I89" s="329"/>
      <x:c r="J89" s="329"/>
      <x:c r="K89" s="327"/>
      <x:c r="L89" s="330" t="str">
        <x:f>IF($K89="O", "●", "")</x:f>
      </x:c>
      <x:c r="M89" s="331" t="str">
        <x:f>IF($K89="T", "➜", "")</x:f>
      </x:c>
      <x:c r="N89" s="332" t="str">
        <x:f>IF($K89="I", "■", "")</x:f>
      </x:c>
      <x:c r="O89" s="333" t="str">
        <x:f>IF($K89="E", "D", "")</x:f>
      </x:c>
      <x:c r="P89" s="334" t="str">
        <x:f>IF($K89="A", "▼", "")</x:f>
      </x:c>
      <x:c r="Q89" s="335"/>
      <x:c r="R89" s="335"/>
      <x:c r="S89" s="335"/>
      <x:c r="T89" s="335"/>
      <x:c r="U89" s="336" t="str">
        <x:f>IF(OR($B89="",$E89="",$K89="",AND($K89&lt;&gt;"A",$J89="")),"",IF(OR(AND($Q89&lt;&gt;"",COUNTIF($B$19:$B88,$Q89)=0),AND($R89&lt;&gt;"",COUNTIF($B$19:$B88,$R89)=0),AND($S89&lt;&gt;"",COUNTIF($B$19:$B88,$S89)=0),AND($T89&lt;&gt;"",COUNTIF($B$19:$B88,$T89)=0)),"REVISAR",MAX(IFERROR(INDEX($V$19:$V88,MATCH($Q89,$B$19:$B88,0)),0),IFERROR(INDEX($V$19:$V88,MATCH($R89,$B$19:$B88,0)),0),IFERROR(INDEX($V$19:$V88,MATCH($S89,$B$19:$B88,0)),0),IFERROR(INDEX($V$19:$V88,MATCH($T89,$B$19:$B88,0)),0))))</x:f>
      </x:c>
      <x:c r="V89" s="336" t="str">
        <x:f>IF(ISNUMBER($U89),$U89+IF($J89="",0,$J89),"")</x:f>
      </x:c>
      <x:c r="W89" s="337"/>
      <x:c r="X89" s="338" t="str">
        <x:f>IF(COUNTA($B89:$K89)+COUNTA($Q89:$T89)+COUNTA($W89)=0,"",IF($B89="","FALTA ID",IF(COUNTIF($B$19:$B$118,$B89)&gt;1,"ID REPETIDO",IF($E89="","FALTA DESCRIPCIÓN",IF($K89="","FALTA TIPO",IF(AND($K89&lt;&gt;"A",$J89=""),"FALTA TIEMPO",IF(AND($K89="T",OR($G89="",$H89="",$I89="")),"REVISAR TRANSPORTE",IF($U89="REVISAR","REVISAR PRECEDENCIA","OK"))))))))</x:f>
      </x:c>
    </x:row>
    <x:row r="90" ht="24" customHeight="1">
      <x:c r="A90" s="326" t="str">
        <x:f>IF($E90="","",COUNTA($E$19:E90))</x:f>
      </x:c>
      <x:c r="B90" s="327"/>
      <x:c r="C90" s="327"/>
      <x:c r="D90" s="327"/>
      <x:c r="E90" s="328"/>
      <x:c r="F90" s="328"/>
      <x:c r="G90" s="328"/>
      <x:c r="H90" s="328"/>
      <x:c r="I90" s="329"/>
      <x:c r="J90" s="329"/>
      <x:c r="K90" s="327"/>
      <x:c r="L90" s="330" t="str">
        <x:f>IF($K90="O", "●", "")</x:f>
      </x:c>
      <x:c r="M90" s="331" t="str">
        <x:f>IF($K90="T", "➜", "")</x:f>
      </x:c>
      <x:c r="N90" s="332" t="str">
        <x:f>IF($K90="I", "■", "")</x:f>
      </x:c>
      <x:c r="O90" s="333" t="str">
        <x:f>IF($K90="E", "D", "")</x:f>
      </x:c>
      <x:c r="P90" s="334" t="str">
        <x:f>IF($K90="A", "▼", "")</x:f>
      </x:c>
      <x:c r="Q90" s="335"/>
      <x:c r="R90" s="335"/>
      <x:c r="S90" s="335"/>
      <x:c r="T90" s="335"/>
      <x:c r="U90" s="336" t="str">
        <x:f>IF(OR($B90="",$E90="",$K90="",AND($K90&lt;&gt;"A",$J90="")),"",IF(OR(AND($Q90&lt;&gt;"",COUNTIF($B$19:$B89,$Q90)=0),AND($R90&lt;&gt;"",COUNTIF($B$19:$B89,$R90)=0),AND($S90&lt;&gt;"",COUNTIF($B$19:$B89,$S90)=0),AND($T90&lt;&gt;"",COUNTIF($B$19:$B89,$T90)=0)),"REVISAR",MAX(IFERROR(INDEX($V$19:$V89,MATCH($Q90,$B$19:$B89,0)),0),IFERROR(INDEX($V$19:$V89,MATCH($R90,$B$19:$B89,0)),0),IFERROR(INDEX($V$19:$V89,MATCH($S90,$B$19:$B89,0)),0),IFERROR(INDEX($V$19:$V89,MATCH($T90,$B$19:$B89,0)),0))))</x:f>
      </x:c>
      <x:c r="V90" s="336" t="str">
        <x:f>IF(ISNUMBER($U90),$U90+IF($J90="",0,$J90),"")</x:f>
      </x:c>
      <x:c r="W90" s="337"/>
      <x:c r="X90" s="338" t="str">
        <x:f>IF(COUNTA($B90:$K90)+COUNTA($Q90:$T90)+COUNTA($W90)=0,"",IF($B90="","FALTA ID",IF(COUNTIF($B$19:$B$118,$B90)&gt;1,"ID REPETIDO",IF($E90="","FALTA DESCRIPCIÓN",IF($K90="","FALTA TIPO",IF(AND($K90&lt;&gt;"A",$J90=""),"FALTA TIEMPO",IF(AND($K90="T",OR($G90="",$H90="",$I90="")),"REVISAR TRANSPORTE",IF($U90="REVISAR","REVISAR PRECEDENCIA","OK"))))))))</x:f>
      </x:c>
    </x:row>
    <x:row r="91" ht="24" customHeight="1">
      <x:c r="A91" s="326" t="str">
        <x:f>IF($E91="","",COUNTA($E$19:E91))</x:f>
      </x:c>
      <x:c r="B91" s="327"/>
      <x:c r="C91" s="327"/>
      <x:c r="D91" s="327"/>
      <x:c r="E91" s="328"/>
      <x:c r="F91" s="328"/>
      <x:c r="G91" s="328"/>
      <x:c r="H91" s="328"/>
      <x:c r="I91" s="329"/>
      <x:c r="J91" s="329"/>
      <x:c r="K91" s="327"/>
      <x:c r="L91" s="330" t="str">
        <x:f>IF($K91="O", "●", "")</x:f>
      </x:c>
      <x:c r="M91" s="331" t="str">
        <x:f>IF($K91="T", "➜", "")</x:f>
      </x:c>
      <x:c r="N91" s="332" t="str">
        <x:f>IF($K91="I", "■", "")</x:f>
      </x:c>
      <x:c r="O91" s="333" t="str">
        <x:f>IF($K91="E", "D", "")</x:f>
      </x:c>
      <x:c r="P91" s="334" t="str">
        <x:f>IF($K91="A", "▼", "")</x:f>
      </x:c>
      <x:c r="Q91" s="335"/>
      <x:c r="R91" s="335"/>
      <x:c r="S91" s="335"/>
      <x:c r="T91" s="335"/>
      <x:c r="U91" s="336" t="str">
        <x:f>IF(OR($B91="",$E91="",$K91="",AND($K91&lt;&gt;"A",$J91="")),"",IF(OR(AND($Q91&lt;&gt;"",COUNTIF($B$19:$B90,$Q91)=0),AND($R91&lt;&gt;"",COUNTIF($B$19:$B90,$R91)=0),AND($S91&lt;&gt;"",COUNTIF($B$19:$B90,$S91)=0),AND($T91&lt;&gt;"",COUNTIF($B$19:$B90,$T91)=0)),"REVISAR",MAX(IFERROR(INDEX($V$19:$V90,MATCH($Q91,$B$19:$B90,0)),0),IFERROR(INDEX($V$19:$V90,MATCH($R91,$B$19:$B90,0)),0),IFERROR(INDEX($V$19:$V90,MATCH($S91,$B$19:$B90,0)),0),IFERROR(INDEX($V$19:$V90,MATCH($T91,$B$19:$B90,0)),0))))</x:f>
      </x:c>
      <x:c r="V91" s="336" t="str">
        <x:f>IF(ISNUMBER($U91),$U91+IF($J91="",0,$J91),"")</x:f>
      </x:c>
      <x:c r="W91" s="337"/>
      <x:c r="X91" s="338" t="str">
        <x:f>IF(COUNTA($B91:$K91)+COUNTA($Q91:$T91)+COUNTA($W91)=0,"",IF($B91="","FALTA ID",IF(COUNTIF($B$19:$B$118,$B91)&gt;1,"ID REPETIDO",IF($E91="","FALTA DESCRIPCIÓN",IF($K91="","FALTA TIPO",IF(AND($K91&lt;&gt;"A",$J91=""),"FALTA TIEMPO",IF(AND($K91="T",OR($G91="",$H91="",$I91="")),"REVISAR TRANSPORTE",IF($U91="REVISAR","REVISAR PRECEDENCIA","OK"))))))))</x:f>
      </x:c>
    </x:row>
    <x:row r="92" ht="24" customHeight="1">
      <x:c r="A92" s="326" t="str">
        <x:f>IF($E92="","",COUNTA($E$19:E92))</x:f>
      </x:c>
      <x:c r="B92" s="327"/>
      <x:c r="C92" s="327"/>
      <x:c r="D92" s="327"/>
      <x:c r="E92" s="328"/>
      <x:c r="F92" s="328"/>
      <x:c r="G92" s="328"/>
      <x:c r="H92" s="328"/>
      <x:c r="I92" s="329"/>
      <x:c r="J92" s="329"/>
      <x:c r="K92" s="327"/>
      <x:c r="L92" s="330" t="str">
        <x:f>IF($K92="O", "●", "")</x:f>
      </x:c>
      <x:c r="M92" s="331" t="str">
        <x:f>IF($K92="T", "➜", "")</x:f>
      </x:c>
      <x:c r="N92" s="332" t="str">
        <x:f>IF($K92="I", "■", "")</x:f>
      </x:c>
      <x:c r="O92" s="333" t="str">
        <x:f>IF($K92="E", "D", "")</x:f>
      </x:c>
      <x:c r="P92" s="334" t="str">
        <x:f>IF($K92="A", "▼", "")</x:f>
      </x:c>
      <x:c r="Q92" s="335"/>
      <x:c r="R92" s="335"/>
      <x:c r="S92" s="335"/>
      <x:c r="T92" s="335"/>
      <x:c r="U92" s="336" t="str">
        <x:f>IF(OR($B92="",$E92="",$K92="",AND($K92&lt;&gt;"A",$J92="")),"",IF(OR(AND($Q92&lt;&gt;"",COUNTIF($B$19:$B91,$Q92)=0),AND($R92&lt;&gt;"",COUNTIF($B$19:$B91,$R92)=0),AND($S92&lt;&gt;"",COUNTIF($B$19:$B91,$S92)=0),AND($T92&lt;&gt;"",COUNTIF($B$19:$B91,$T92)=0)),"REVISAR",MAX(IFERROR(INDEX($V$19:$V91,MATCH($Q92,$B$19:$B91,0)),0),IFERROR(INDEX($V$19:$V91,MATCH($R92,$B$19:$B91,0)),0),IFERROR(INDEX($V$19:$V91,MATCH($S92,$B$19:$B91,0)),0),IFERROR(INDEX($V$19:$V91,MATCH($T92,$B$19:$B91,0)),0))))</x:f>
      </x:c>
      <x:c r="V92" s="336" t="str">
        <x:f>IF(ISNUMBER($U92),$U92+IF($J92="",0,$J92),"")</x:f>
      </x:c>
      <x:c r="W92" s="337"/>
      <x:c r="X92" s="338" t="str">
        <x:f>IF(COUNTA($B92:$K92)+COUNTA($Q92:$T92)+COUNTA($W92)=0,"",IF($B92="","FALTA ID",IF(COUNTIF($B$19:$B$118,$B92)&gt;1,"ID REPETIDO",IF($E92="","FALTA DESCRIPCIÓN",IF($K92="","FALTA TIPO",IF(AND($K92&lt;&gt;"A",$J92=""),"FALTA TIEMPO",IF(AND($K92="T",OR($G92="",$H92="",$I92="")),"REVISAR TRANSPORTE",IF($U92="REVISAR","REVISAR PRECEDENCIA","OK"))))))))</x:f>
      </x:c>
    </x:row>
    <x:row r="93" ht="24" customHeight="1">
      <x:c r="A93" s="326" t="str">
        <x:f>IF($E93="","",COUNTA($E$19:E93))</x:f>
      </x:c>
      <x:c r="B93" s="327"/>
      <x:c r="C93" s="327"/>
      <x:c r="D93" s="327"/>
      <x:c r="E93" s="328"/>
      <x:c r="F93" s="328"/>
      <x:c r="G93" s="328"/>
      <x:c r="H93" s="328"/>
      <x:c r="I93" s="329"/>
      <x:c r="J93" s="329"/>
      <x:c r="K93" s="327"/>
      <x:c r="L93" s="330" t="str">
        <x:f>IF($K93="O", "●", "")</x:f>
      </x:c>
      <x:c r="M93" s="331" t="str">
        <x:f>IF($K93="T", "➜", "")</x:f>
      </x:c>
      <x:c r="N93" s="332" t="str">
        <x:f>IF($K93="I", "■", "")</x:f>
      </x:c>
      <x:c r="O93" s="333" t="str">
        <x:f>IF($K93="E", "D", "")</x:f>
      </x:c>
      <x:c r="P93" s="334" t="str">
        <x:f>IF($K93="A", "▼", "")</x:f>
      </x:c>
      <x:c r="Q93" s="335"/>
      <x:c r="R93" s="335"/>
      <x:c r="S93" s="335"/>
      <x:c r="T93" s="335"/>
      <x:c r="U93" s="336" t="str">
        <x:f>IF(OR($B93="",$E93="",$K93="",AND($K93&lt;&gt;"A",$J93="")),"",IF(OR(AND($Q93&lt;&gt;"",COUNTIF($B$19:$B92,$Q93)=0),AND($R93&lt;&gt;"",COUNTIF($B$19:$B92,$R93)=0),AND($S93&lt;&gt;"",COUNTIF($B$19:$B92,$S93)=0),AND($T93&lt;&gt;"",COUNTIF($B$19:$B92,$T93)=0)),"REVISAR",MAX(IFERROR(INDEX($V$19:$V92,MATCH($Q93,$B$19:$B92,0)),0),IFERROR(INDEX($V$19:$V92,MATCH($R93,$B$19:$B92,0)),0),IFERROR(INDEX($V$19:$V92,MATCH($S93,$B$19:$B92,0)),0),IFERROR(INDEX($V$19:$V92,MATCH($T93,$B$19:$B92,0)),0))))</x:f>
      </x:c>
      <x:c r="V93" s="336" t="str">
        <x:f>IF(ISNUMBER($U93),$U93+IF($J93="",0,$J93),"")</x:f>
      </x:c>
      <x:c r="W93" s="337"/>
      <x:c r="X93" s="338" t="str">
        <x:f>IF(COUNTA($B93:$K93)+COUNTA($Q93:$T93)+COUNTA($W93)=0,"",IF($B93="","FALTA ID",IF(COUNTIF($B$19:$B$118,$B93)&gt;1,"ID REPETIDO",IF($E93="","FALTA DESCRIPCIÓN",IF($K93="","FALTA TIPO",IF(AND($K93&lt;&gt;"A",$J93=""),"FALTA TIEMPO",IF(AND($K93="T",OR($G93="",$H93="",$I93="")),"REVISAR TRANSPORTE",IF($U93="REVISAR","REVISAR PRECEDENCIA","OK"))))))))</x:f>
      </x:c>
    </x:row>
    <x:row r="94" ht="24" customHeight="1">
      <x:c r="A94" s="326" t="str">
        <x:f>IF($E94="","",COUNTA($E$19:E94))</x:f>
      </x:c>
      <x:c r="B94" s="327"/>
      <x:c r="C94" s="327"/>
      <x:c r="D94" s="327"/>
      <x:c r="E94" s="328"/>
      <x:c r="F94" s="328"/>
      <x:c r="G94" s="328"/>
      <x:c r="H94" s="328"/>
      <x:c r="I94" s="329"/>
      <x:c r="J94" s="329"/>
      <x:c r="K94" s="327"/>
      <x:c r="L94" s="330" t="str">
        <x:f>IF($K94="O", "●", "")</x:f>
      </x:c>
      <x:c r="M94" s="331" t="str">
        <x:f>IF($K94="T", "➜", "")</x:f>
      </x:c>
      <x:c r="N94" s="332" t="str">
        <x:f>IF($K94="I", "■", "")</x:f>
      </x:c>
      <x:c r="O94" s="333" t="str">
        <x:f>IF($K94="E", "D", "")</x:f>
      </x:c>
      <x:c r="P94" s="334" t="str">
        <x:f>IF($K94="A", "▼", "")</x:f>
      </x:c>
      <x:c r="Q94" s="335"/>
      <x:c r="R94" s="335"/>
      <x:c r="S94" s="335"/>
      <x:c r="T94" s="335"/>
      <x:c r="U94" s="336" t="str">
        <x:f>IF(OR($B94="",$E94="",$K94="",AND($K94&lt;&gt;"A",$J94="")),"",IF(OR(AND($Q94&lt;&gt;"",COUNTIF($B$19:$B93,$Q94)=0),AND($R94&lt;&gt;"",COUNTIF($B$19:$B93,$R94)=0),AND($S94&lt;&gt;"",COUNTIF($B$19:$B93,$S94)=0),AND($T94&lt;&gt;"",COUNTIF($B$19:$B93,$T94)=0)),"REVISAR",MAX(IFERROR(INDEX($V$19:$V93,MATCH($Q94,$B$19:$B93,0)),0),IFERROR(INDEX($V$19:$V93,MATCH($R94,$B$19:$B93,0)),0),IFERROR(INDEX($V$19:$V93,MATCH($S94,$B$19:$B93,0)),0),IFERROR(INDEX($V$19:$V93,MATCH($T94,$B$19:$B93,0)),0))))</x:f>
      </x:c>
      <x:c r="V94" s="336" t="str">
        <x:f>IF(ISNUMBER($U94),$U94+IF($J94="",0,$J94),"")</x:f>
      </x:c>
      <x:c r="W94" s="337"/>
      <x:c r="X94" s="338" t="str">
        <x:f>IF(COUNTA($B94:$K94)+COUNTA($Q94:$T94)+COUNTA($W94)=0,"",IF($B94="","FALTA ID",IF(COUNTIF($B$19:$B$118,$B94)&gt;1,"ID REPETIDO",IF($E94="","FALTA DESCRIPCIÓN",IF($K94="","FALTA TIPO",IF(AND($K94&lt;&gt;"A",$J94=""),"FALTA TIEMPO",IF(AND($K94="T",OR($G94="",$H94="",$I94="")),"REVISAR TRANSPORTE",IF($U94="REVISAR","REVISAR PRECEDENCIA","OK"))))))))</x:f>
      </x:c>
    </x:row>
    <x:row r="95" ht="24" customHeight="1">
      <x:c r="A95" s="326" t="str">
        <x:f>IF($E95="","",COUNTA($E$19:E95))</x:f>
      </x:c>
      <x:c r="B95" s="327"/>
      <x:c r="C95" s="327"/>
      <x:c r="D95" s="327"/>
      <x:c r="E95" s="328"/>
      <x:c r="F95" s="328"/>
      <x:c r="G95" s="328"/>
      <x:c r="H95" s="328"/>
      <x:c r="I95" s="329"/>
      <x:c r="J95" s="329"/>
      <x:c r="K95" s="327"/>
      <x:c r="L95" s="330" t="str">
        <x:f>IF($K95="O", "●", "")</x:f>
      </x:c>
      <x:c r="M95" s="331" t="str">
        <x:f>IF($K95="T", "➜", "")</x:f>
      </x:c>
      <x:c r="N95" s="332" t="str">
        <x:f>IF($K95="I", "■", "")</x:f>
      </x:c>
      <x:c r="O95" s="333" t="str">
        <x:f>IF($K95="E", "D", "")</x:f>
      </x:c>
      <x:c r="P95" s="334" t="str">
        <x:f>IF($K95="A", "▼", "")</x:f>
      </x:c>
      <x:c r="Q95" s="335"/>
      <x:c r="R95" s="335"/>
      <x:c r="S95" s="335"/>
      <x:c r="T95" s="335"/>
      <x:c r="U95" s="336" t="str">
        <x:f>IF(OR($B95="",$E95="",$K95="",AND($K95&lt;&gt;"A",$J95="")),"",IF(OR(AND($Q95&lt;&gt;"",COUNTIF($B$19:$B94,$Q95)=0),AND($R95&lt;&gt;"",COUNTIF($B$19:$B94,$R95)=0),AND($S95&lt;&gt;"",COUNTIF($B$19:$B94,$S95)=0),AND($T95&lt;&gt;"",COUNTIF($B$19:$B94,$T95)=0)),"REVISAR",MAX(IFERROR(INDEX($V$19:$V94,MATCH($Q95,$B$19:$B94,0)),0),IFERROR(INDEX($V$19:$V94,MATCH($R95,$B$19:$B94,0)),0),IFERROR(INDEX($V$19:$V94,MATCH($S95,$B$19:$B94,0)),0),IFERROR(INDEX($V$19:$V94,MATCH($T95,$B$19:$B94,0)),0))))</x:f>
      </x:c>
      <x:c r="V95" s="336" t="str">
        <x:f>IF(ISNUMBER($U95),$U95+IF($J95="",0,$J95),"")</x:f>
      </x:c>
      <x:c r="W95" s="337"/>
      <x:c r="X95" s="338" t="str">
        <x:f>IF(COUNTA($B95:$K95)+COUNTA($Q95:$T95)+COUNTA($W95)=0,"",IF($B95="","FALTA ID",IF(COUNTIF($B$19:$B$118,$B95)&gt;1,"ID REPETIDO",IF($E95="","FALTA DESCRIPCIÓN",IF($K95="","FALTA TIPO",IF(AND($K95&lt;&gt;"A",$J95=""),"FALTA TIEMPO",IF(AND($K95="T",OR($G95="",$H95="",$I95="")),"REVISAR TRANSPORTE",IF($U95="REVISAR","REVISAR PRECEDENCIA","OK"))))))))</x:f>
      </x:c>
    </x:row>
    <x:row r="96" ht="24" customHeight="1">
      <x:c r="A96" s="326" t="str">
        <x:f>IF($E96="","",COUNTA($E$19:E96))</x:f>
      </x:c>
      <x:c r="B96" s="327"/>
      <x:c r="C96" s="327"/>
      <x:c r="D96" s="327"/>
      <x:c r="E96" s="328"/>
      <x:c r="F96" s="328"/>
      <x:c r="G96" s="328"/>
      <x:c r="H96" s="328"/>
      <x:c r="I96" s="329"/>
      <x:c r="J96" s="329"/>
      <x:c r="K96" s="327"/>
      <x:c r="L96" s="330" t="str">
        <x:f>IF($K96="O", "●", "")</x:f>
      </x:c>
      <x:c r="M96" s="331" t="str">
        <x:f>IF($K96="T", "➜", "")</x:f>
      </x:c>
      <x:c r="N96" s="332" t="str">
        <x:f>IF($K96="I", "■", "")</x:f>
      </x:c>
      <x:c r="O96" s="333" t="str">
        <x:f>IF($K96="E", "D", "")</x:f>
      </x:c>
      <x:c r="P96" s="334" t="str">
        <x:f>IF($K96="A", "▼", "")</x:f>
      </x:c>
      <x:c r="Q96" s="335"/>
      <x:c r="R96" s="335"/>
      <x:c r="S96" s="335"/>
      <x:c r="T96" s="335"/>
      <x:c r="U96" s="336" t="str">
        <x:f>IF(OR($B96="",$E96="",$K96="",AND($K96&lt;&gt;"A",$J96="")),"",IF(OR(AND($Q96&lt;&gt;"",COUNTIF($B$19:$B95,$Q96)=0),AND($R96&lt;&gt;"",COUNTIF($B$19:$B95,$R96)=0),AND($S96&lt;&gt;"",COUNTIF($B$19:$B95,$S96)=0),AND($T96&lt;&gt;"",COUNTIF($B$19:$B95,$T96)=0)),"REVISAR",MAX(IFERROR(INDEX($V$19:$V95,MATCH($Q96,$B$19:$B95,0)),0),IFERROR(INDEX($V$19:$V95,MATCH($R96,$B$19:$B95,0)),0),IFERROR(INDEX($V$19:$V95,MATCH($S96,$B$19:$B95,0)),0),IFERROR(INDEX($V$19:$V95,MATCH($T96,$B$19:$B95,0)),0))))</x:f>
      </x:c>
      <x:c r="V96" s="336" t="str">
        <x:f>IF(ISNUMBER($U96),$U96+IF($J96="",0,$J96),"")</x:f>
      </x:c>
      <x:c r="W96" s="337"/>
      <x:c r="X96" s="338" t="str">
        <x:f>IF(COUNTA($B96:$K96)+COUNTA($Q96:$T96)+COUNTA($W96)=0,"",IF($B96="","FALTA ID",IF(COUNTIF($B$19:$B$118,$B96)&gt;1,"ID REPETIDO",IF($E96="","FALTA DESCRIPCIÓN",IF($K96="","FALTA TIPO",IF(AND($K96&lt;&gt;"A",$J96=""),"FALTA TIEMPO",IF(AND($K96="T",OR($G96="",$H96="",$I96="")),"REVISAR TRANSPORTE",IF($U96="REVISAR","REVISAR PRECEDENCIA","OK"))))))))</x:f>
      </x:c>
    </x:row>
    <x:row r="97" ht="24" customHeight="1">
      <x:c r="A97" s="326" t="str">
        <x:f>IF($E97="","",COUNTA($E$19:E97))</x:f>
      </x:c>
      <x:c r="B97" s="327"/>
      <x:c r="C97" s="327"/>
      <x:c r="D97" s="327"/>
      <x:c r="E97" s="328"/>
      <x:c r="F97" s="328"/>
      <x:c r="G97" s="328"/>
      <x:c r="H97" s="328"/>
      <x:c r="I97" s="329"/>
      <x:c r="J97" s="329"/>
      <x:c r="K97" s="327"/>
      <x:c r="L97" s="330" t="str">
        <x:f>IF($K97="O", "●", "")</x:f>
      </x:c>
      <x:c r="M97" s="331" t="str">
        <x:f>IF($K97="T", "➜", "")</x:f>
      </x:c>
      <x:c r="N97" s="332" t="str">
        <x:f>IF($K97="I", "■", "")</x:f>
      </x:c>
      <x:c r="O97" s="333" t="str">
        <x:f>IF($K97="E", "D", "")</x:f>
      </x:c>
      <x:c r="P97" s="334" t="str">
        <x:f>IF($K97="A", "▼", "")</x:f>
      </x:c>
      <x:c r="Q97" s="335"/>
      <x:c r="R97" s="335"/>
      <x:c r="S97" s="335"/>
      <x:c r="T97" s="335"/>
      <x:c r="U97" s="336" t="str">
        <x:f>IF(OR($B97="",$E97="",$K97="",AND($K97&lt;&gt;"A",$J97="")),"",IF(OR(AND($Q97&lt;&gt;"",COUNTIF($B$19:$B96,$Q97)=0),AND($R97&lt;&gt;"",COUNTIF($B$19:$B96,$R97)=0),AND($S97&lt;&gt;"",COUNTIF($B$19:$B96,$S97)=0),AND($T97&lt;&gt;"",COUNTIF($B$19:$B96,$T97)=0)),"REVISAR",MAX(IFERROR(INDEX($V$19:$V96,MATCH($Q97,$B$19:$B96,0)),0),IFERROR(INDEX($V$19:$V96,MATCH($R97,$B$19:$B96,0)),0),IFERROR(INDEX($V$19:$V96,MATCH($S97,$B$19:$B96,0)),0),IFERROR(INDEX($V$19:$V96,MATCH($T97,$B$19:$B96,0)),0))))</x:f>
      </x:c>
      <x:c r="V97" s="336" t="str">
        <x:f>IF(ISNUMBER($U97),$U97+IF($J97="",0,$J97),"")</x:f>
      </x:c>
      <x:c r="W97" s="337"/>
      <x:c r="X97" s="338" t="str">
        <x:f>IF(COUNTA($B97:$K97)+COUNTA($Q97:$T97)+COUNTA($W97)=0,"",IF($B97="","FALTA ID",IF(COUNTIF($B$19:$B$118,$B97)&gt;1,"ID REPETIDO",IF($E97="","FALTA DESCRIPCIÓN",IF($K97="","FALTA TIPO",IF(AND($K97&lt;&gt;"A",$J97=""),"FALTA TIEMPO",IF(AND($K97="T",OR($G97="",$H97="",$I97="")),"REVISAR TRANSPORTE",IF($U97="REVISAR","REVISAR PRECEDENCIA","OK"))))))))</x:f>
      </x:c>
    </x:row>
    <x:row r="98" ht="24" customHeight="1">
      <x:c r="A98" s="326" t="str">
        <x:f>IF($E98="","",COUNTA($E$19:E98))</x:f>
      </x:c>
      <x:c r="B98" s="327"/>
      <x:c r="C98" s="327"/>
      <x:c r="D98" s="327"/>
      <x:c r="E98" s="328"/>
      <x:c r="F98" s="328"/>
      <x:c r="G98" s="328"/>
      <x:c r="H98" s="328"/>
      <x:c r="I98" s="329"/>
      <x:c r="J98" s="329"/>
      <x:c r="K98" s="327"/>
      <x:c r="L98" s="330" t="str">
        <x:f>IF($K98="O", "●", "")</x:f>
      </x:c>
      <x:c r="M98" s="331" t="str">
        <x:f>IF($K98="T", "➜", "")</x:f>
      </x:c>
      <x:c r="N98" s="332" t="str">
        <x:f>IF($K98="I", "■", "")</x:f>
      </x:c>
      <x:c r="O98" s="333" t="str">
        <x:f>IF($K98="E", "D", "")</x:f>
      </x:c>
      <x:c r="P98" s="334" t="str">
        <x:f>IF($K98="A", "▼", "")</x:f>
      </x:c>
      <x:c r="Q98" s="335"/>
      <x:c r="R98" s="335"/>
      <x:c r="S98" s="335"/>
      <x:c r="T98" s="335"/>
      <x:c r="U98" s="336" t="str">
        <x:f>IF(OR($B98="",$E98="",$K98="",AND($K98&lt;&gt;"A",$J98="")),"",IF(OR(AND($Q98&lt;&gt;"",COUNTIF($B$19:$B97,$Q98)=0),AND($R98&lt;&gt;"",COUNTIF($B$19:$B97,$R98)=0),AND($S98&lt;&gt;"",COUNTIF($B$19:$B97,$S98)=0),AND($T98&lt;&gt;"",COUNTIF($B$19:$B97,$T98)=0)),"REVISAR",MAX(IFERROR(INDEX($V$19:$V97,MATCH($Q98,$B$19:$B97,0)),0),IFERROR(INDEX($V$19:$V97,MATCH($R98,$B$19:$B97,0)),0),IFERROR(INDEX($V$19:$V97,MATCH($S98,$B$19:$B97,0)),0),IFERROR(INDEX($V$19:$V97,MATCH($T98,$B$19:$B97,0)),0))))</x:f>
      </x:c>
      <x:c r="V98" s="336" t="str">
        <x:f>IF(ISNUMBER($U98),$U98+IF($J98="",0,$J98),"")</x:f>
      </x:c>
      <x:c r="W98" s="337"/>
      <x:c r="X98" s="338" t="str">
        <x:f>IF(COUNTA($B98:$K98)+COUNTA($Q98:$T98)+COUNTA($W98)=0,"",IF($B98="","FALTA ID",IF(COUNTIF($B$19:$B$118,$B98)&gt;1,"ID REPETIDO",IF($E98="","FALTA DESCRIPCIÓN",IF($K98="","FALTA TIPO",IF(AND($K98&lt;&gt;"A",$J98=""),"FALTA TIEMPO",IF(AND($K98="T",OR($G98="",$H98="",$I98="")),"REVISAR TRANSPORTE",IF($U98="REVISAR","REVISAR PRECEDENCIA","OK"))))))))</x:f>
      </x:c>
    </x:row>
    <x:row r="99" ht="24" customHeight="1">
      <x:c r="A99" s="326" t="str">
        <x:f>IF($E99="","",COUNTA($E$19:E99))</x:f>
      </x:c>
      <x:c r="B99" s="327"/>
      <x:c r="C99" s="327"/>
      <x:c r="D99" s="327"/>
      <x:c r="E99" s="328"/>
      <x:c r="F99" s="328"/>
      <x:c r="G99" s="328"/>
      <x:c r="H99" s="328"/>
      <x:c r="I99" s="329"/>
      <x:c r="J99" s="329"/>
      <x:c r="K99" s="327"/>
      <x:c r="L99" s="330" t="str">
        <x:f>IF($K99="O", "●", "")</x:f>
      </x:c>
      <x:c r="M99" s="331" t="str">
        <x:f>IF($K99="T", "➜", "")</x:f>
      </x:c>
      <x:c r="N99" s="332" t="str">
        <x:f>IF($K99="I", "■", "")</x:f>
      </x:c>
      <x:c r="O99" s="333" t="str">
        <x:f>IF($K99="E", "D", "")</x:f>
      </x:c>
      <x:c r="P99" s="334" t="str">
        <x:f>IF($K99="A", "▼", "")</x:f>
      </x:c>
      <x:c r="Q99" s="335"/>
      <x:c r="R99" s="335"/>
      <x:c r="S99" s="335"/>
      <x:c r="T99" s="335"/>
      <x:c r="U99" s="336" t="str">
        <x:f>IF(OR($B99="",$E99="",$K99="",AND($K99&lt;&gt;"A",$J99="")),"",IF(OR(AND($Q99&lt;&gt;"",COUNTIF($B$19:$B98,$Q99)=0),AND($R99&lt;&gt;"",COUNTIF($B$19:$B98,$R99)=0),AND($S99&lt;&gt;"",COUNTIF($B$19:$B98,$S99)=0),AND($T99&lt;&gt;"",COUNTIF($B$19:$B98,$T99)=0)),"REVISAR",MAX(IFERROR(INDEX($V$19:$V98,MATCH($Q99,$B$19:$B98,0)),0),IFERROR(INDEX($V$19:$V98,MATCH($R99,$B$19:$B98,0)),0),IFERROR(INDEX($V$19:$V98,MATCH($S99,$B$19:$B98,0)),0),IFERROR(INDEX($V$19:$V98,MATCH($T99,$B$19:$B98,0)),0))))</x:f>
      </x:c>
      <x:c r="V99" s="336" t="str">
        <x:f>IF(ISNUMBER($U99),$U99+IF($J99="",0,$J99),"")</x:f>
      </x:c>
      <x:c r="W99" s="337"/>
      <x:c r="X99" s="338" t="str">
        <x:f>IF(COUNTA($B99:$K99)+COUNTA($Q99:$T99)+COUNTA($W99)=0,"",IF($B99="","FALTA ID",IF(COUNTIF($B$19:$B$118,$B99)&gt;1,"ID REPETIDO",IF($E99="","FALTA DESCRIPCIÓN",IF($K99="","FALTA TIPO",IF(AND($K99&lt;&gt;"A",$J99=""),"FALTA TIEMPO",IF(AND($K99="T",OR($G99="",$H99="",$I99="")),"REVISAR TRANSPORTE",IF($U99="REVISAR","REVISAR PRECEDENCIA","OK"))))))))</x:f>
      </x:c>
    </x:row>
    <x:row r="100" ht="24" customHeight="1">
      <x:c r="A100" s="326" t="str">
        <x:f>IF($E100="","",COUNTA($E$19:E100))</x:f>
      </x:c>
      <x:c r="B100" s="327"/>
      <x:c r="C100" s="327"/>
      <x:c r="D100" s="327"/>
      <x:c r="E100" s="328"/>
      <x:c r="F100" s="328"/>
      <x:c r="G100" s="328"/>
      <x:c r="H100" s="328"/>
      <x:c r="I100" s="329"/>
      <x:c r="J100" s="329"/>
      <x:c r="K100" s="327"/>
      <x:c r="L100" s="330" t="str">
        <x:f>IF($K100="O", "●", "")</x:f>
      </x:c>
      <x:c r="M100" s="331" t="str">
        <x:f>IF($K100="T", "➜", "")</x:f>
      </x:c>
      <x:c r="N100" s="332" t="str">
        <x:f>IF($K100="I", "■", "")</x:f>
      </x:c>
      <x:c r="O100" s="333" t="str">
        <x:f>IF($K100="E", "D", "")</x:f>
      </x:c>
      <x:c r="P100" s="334" t="str">
        <x:f>IF($K100="A", "▼", "")</x:f>
      </x:c>
      <x:c r="Q100" s="335"/>
      <x:c r="R100" s="335"/>
      <x:c r="S100" s="335"/>
      <x:c r="T100" s="335"/>
      <x:c r="U100" s="336" t="str">
        <x:f>IF(OR($B100="",$E100="",$K100="",AND($K100&lt;&gt;"A",$J100="")),"",IF(OR(AND($Q100&lt;&gt;"",COUNTIF($B$19:$B99,$Q100)=0),AND($R100&lt;&gt;"",COUNTIF($B$19:$B99,$R100)=0),AND($S100&lt;&gt;"",COUNTIF($B$19:$B99,$S100)=0),AND($T100&lt;&gt;"",COUNTIF($B$19:$B99,$T100)=0)),"REVISAR",MAX(IFERROR(INDEX($V$19:$V99,MATCH($Q100,$B$19:$B99,0)),0),IFERROR(INDEX($V$19:$V99,MATCH($R100,$B$19:$B99,0)),0),IFERROR(INDEX($V$19:$V99,MATCH($S100,$B$19:$B99,0)),0),IFERROR(INDEX($V$19:$V99,MATCH($T100,$B$19:$B99,0)),0))))</x:f>
      </x:c>
      <x:c r="V100" s="336" t="str">
        <x:f>IF(ISNUMBER($U100),$U100+IF($J100="",0,$J100),"")</x:f>
      </x:c>
      <x:c r="W100" s="337"/>
      <x:c r="X100" s="338" t="str">
        <x:f>IF(COUNTA($B100:$K100)+COUNTA($Q100:$T100)+COUNTA($W100)=0,"",IF($B100="","FALTA ID",IF(COUNTIF($B$19:$B$118,$B100)&gt;1,"ID REPETIDO",IF($E100="","FALTA DESCRIPCIÓN",IF($K100="","FALTA TIPO",IF(AND($K100&lt;&gt;"A",$J100=""),"FALTA TIEMPO",IF(AND($K100="T",OR($G100="",$H100="",$I100="")),"REVISAR TRANSPORTE",IF($U100="REVISAR","REVISAR PRECEDENCIA","OK"))))))))</x:f>
      </x:c>
    </x:row>
    <x:row r="101" ht="24" customHeight="1">
      <x:c r="A101" s="326" t="str">
        <x:f>IF($E101="","",COUNTA($E$19:E101))</x:f>
      </x:c>
      <x:c r="B101" s="327"/>
      <x:c r="C101" s="327"/>
      <x:c r="D101" s="327"/>
      <x:c r="E101" s="328"/>
      <x:c r="F101" s="328"/>
      <x:c r="G101" s="328"/>
      <x:c r="H101" s="328"/>
      <x:c r="I101" s="329"/>
      <x:c r="J101" s="329"/>
      <x:c r="K101" s="327"/>
      <x:c r="L101" s="330" t="str">
        <x:f>IF($K101="O", "●", "")</x:f>
      </x:c>
      <x:c r="M101" s="331" t="str">
        <x:f>IF($K101="T", "➜", "")</x:f>
      </x:c>
      <x:c r="N101" s="332" t="str">
        <x:f>IF($K101="I", "■", "")</x:f>
      </x:c>
      <x:c r="O101" s="333" t="str">
        <x:f>IF($K101="E", "D", "")</x:f>
      </x:c>
      <x:c r="P101" s="334" t="str">
        <x:f>IF($K101="A", "▼", "")</x:f>
      </x:c>
      <x:c r="Q101" s="335"/>
      <x:c r="R101" s="335"/>
      <x:c r="S101" s="335"/>
      <x:c r="T101" s="335"/>
      <x:c r="U101" s="336" t="str">
        <x:f>IF(OR($B101="",$E101="",$K101="",AND($K101&lt;&gt;"A",$J101="")),"",IF(OR(AND($Q101&lt;&gt;"",COUNTIF($B$19:$B100,$Q101)=0),AND($R101&lt;&gt;"",COUNTIF($B$19:$B100,$R101)=0),AND($S101&lt;&gt;"",COUNTIF($B$19:$B100,$S101)=0),AND($T101&lt;&gt;"",COUNTIF($B$19:$B100,$T101)=0)),"REVISAR",MAX(IFERROR(INDEX($V$19:$V100,MATCH($Q101,$B$19:$B100,0)),0),IFERROR(INDEX($V$19:$V100,MATCH($R101,$B$19:$B100,0)),0),IFERROR(INDEX($V$19:$V100,MATCH($S101,$B$19:$B100,0)),0),IFERROR(INDEX($V$19:$V100,MATCH($T101,$B$19:$B100,0)),0))))</x:f>
      </x:c>
      <x:c r="V101" s="336" t="str">
        <x:f>IF(ISNUMBER($U101),$U101+IF($J101="",0,$J101),"")</x:f>
      </x:c>
      <x:c r="W101" s="337"/>
      <x:c r="X101" s="338" t="str">
        <x:f>IF(COUNTA($B101:$K101)+COUNTA($Q101:$T101)+COUNTA($W101)=0,"",IF($B101="","FALTA ID",IF(COUNTIF($B$19:$B$118,$B101)&gt;1,"ID REPETIDO",IF($E101="","FALTA DESCRIPCIÓN",IF($K101="","FALTA TIPO",IF(AND($K101&lt;&gt;"A",$J101=""),"FALTA TIEMPO",IF(AND($K101="T",OR($G101="",$H101="",$I101="")),"REVISAR TRANSPORTE",IF($U101="REVISAR","REVISAR PRECEDENCIA","OK"))))))))</x:f>
      </x:c>
    </x:row>
    <x:row r="102" ht="24" customHeight="1">
      <x:c r="A102" s="326" t="str">
        <x:f>IF($E102="","",COUNTA($E$19:E102))</x:f>
      </x:c>
      <x:c r="B102" s="327"/>
      <x:c r="C102" s="327"/>
      <x:c r="D102" s="327"/>
      <x:c r="E102" s="328"/>
      <x:c r="F102" s="328"/>
      <x:c r="G102" s="328"/>
      <x:c r="H102" s="328"/>
      <x:c r="I102" s="329"/>
      <x:c r="J102" s="329"/>
      <x:c r="K102" s="327"/>
      <x:c r="L102" s="330" t="str">
        <x:f>IF($K102="O", "●", "")</x:f>
      </x:c>
      <x:c r="M102" s="331" t="str">
        <x:f>IF($K102="T", "➜", "")</x:f>
      </x:c>
      <x:c r="N102" s="332" t="str">
        <x:f>IF($K102="I", "■", "")</x:f>
      </x:c>
      <x:c r="O102" s="333" t="str">
        <x:f>IF($K102="E", "D", "")</x:f>
      </x:c>
      <x:c r="P102" s="334" t="str">
        <x:f>IF($K102="A", "▼", "")</x:f>
      </x:c>
      <x:c r="Q102" s="335"/>
      <x:c r="R102" s="335"/>
      <x:c r="S102" s="335"/>
      <x:c r="T102" s="335"/>
      <x:c r="U102" s="336" t="str">
        <x:f>IF(OR($B102="",$E102="",$K102="",AND($K102&lt;&gt;"A",$J102="")),"",IF(OR(AND($Q102&lt;&gt;"",COUNTIF($B$19:$B101,$Q102)=0),AND($R102&lt;&gt;"",COUNTIF($B$19:$B101,$R102)=0),AND($S102&lt;&gt;"",COUNTIF($B$19:$B101,$S102)=0),AND($T102&lt;&gt;"",COUNTIF($B$19:$B101,$T102)=0)),"REVISAR",MAX(IFERROR(INDEX($V$19:$V101,MATCH($Q102,$B$19:$B101,0)),0),IFERROR(INDEX($V$19:$V101,MATCH($R102,$B$19:$B101,0)),0),IFERROR(INDEX($V$19:$V101,MATCH($S102,$B$19:$B101,0)),0),IFERROR(INDEX($V$19:$V101,MATCH($T102,$B$19:$B101,0)),0))))</x:f>
      </x:c>
      <x:c r="V102" s="336" t="str">
        <x:f>IF(ISNUMBER($U102),$U102+IF($J102="",0,$J102),"")</x:f>
      </x:c>
      <x:c r="W102" s="337"/>
      <x:c r="X102" s="338" t="str">
        <x:f>IF(COUNTA($B102:$K102)+COUNTA($Q102:$T102)+COUNTA($W102)=0,"",IF($B102="","FALTA ID",IF(COUNTIF($B$19:$B$118,$B102)&gt;1,"ID REPETIDO",IF($E102="","FALTA DESCRIPCIÓN",IF($K102="","FALTA TIPO",IF(AND($K102&lt;&gt;"A",$J102=""),"FALTA TIEMPO",IF(AND($K102="T",OR($G102="",$H102="",$I102="")),"REVISAR TRANSPORTE",IF($U102="REVISAR","REVISAR PRECEDENCIA","OK"))))))))</x:f>
      </x:c>
    </x:row>
    <x:row r="103" ht="24" customHeight="1">
      <x:c r="A103" s="326" t="str">
        <x:f>IF($E103="","",COUNTA($E$19:E103))</x:f>
      </x:c>
      <x:c r="B103" s="327"/>
      <x:c r="C103" s="327"/>
      <x:c r="D103" s="327"/>
      <x:c r="E103" s="328"/>
      <x:c r="F103" s="328"/>
      <x:c r="G103" s="328"/>
      <x:c r="H103" s="328"/>
      <x:c r="I103" s="329"/>
      <x:c r="J103" s="329"/>
      <x:c r="K103" s="327"/>
      <x:c r="L103" s="330" t="str">
        <x:f>IF($K103="O", "●", "")</x:f>
      </x:c>
      <x:c r="M103" s="331" t="str">
        <x:f>IF($K103="T", "➜", "")</x:f>
      </x:c>
      <x:c r="N103" s="332" t="str">
        <x:f>IF($K103="I", "■", "")</x:f>
      </x:c>
      <x:c r="O103" s="333" t="str">
        <x:f>IF($K103="E", "D", "")</x:f>
      </x:c>
      <x:c r="P103" s="334" t="str">
        <x:f>IF($K103="A", "▼", "")</x:f>
      </x:c>
      <x:c r="Q103" s="335"/>
      <x:c r="R103" s="335"/>
      <x:c r="S103" s="335"/>
      <x:c r="T103" s="335"/>
      <x:c r="U103" s="336" t="str">
        <x:f>IF(OR($B103="",$E103="",$K103="",AND($K103&lt;&gt;"A",$J103="")),"",IF(OR(AND($Q103&lt;&gt;"",COUNTIF($B$19:$B102,$Q103)=0),AND($R103&lt;&gt;"",COUNTIF($B$19:$B102,$R103)=0),AND($S103&lt;&gt;"",COUNTIF($B$19:$B102,$S103)=0),AND($T103&lt;&gt;"",COUNTIF($B$19:$B102,$T103)=0)),"REVISAR",MAX(IFERROR(INDEX($V$19:$V102,MATCH($Q103,$B$19:$B102,0)),0),IFERROR(INDEX($V$19:$V102,MATCH($R103,$B$19:$B102,0)),0),IFERROR(INDEX($V$19:$V102,MATCH($S103,$B$19:$B102,0)),0),IFERROR(INDEX($V$19:$V102,MATCH($T103,$B$19:$B102,0)),0))))</x:f>
      </x:c>
      <x:c r="V103" s="336" t="str">
        <x:f>IF(ISNUMBER($U103),$U103+IF($J103="",0,$J103),"")</x:f>
      </x:c>
      <x:c r="W103" s="337"/>
      <x:c r="X103" s="338" t="str">
        <x:f>IF(COUNTA($B103:$K103)+COUNTA($Q103:$T103)+COUNTA($W103)=0,"",IF($B103="","FALTA ID",IF(COUNTIF($B$19:$B$118,$B103)&gt;1,"ID REPETIDO",IF($E103="","FALTA DESCRIPCIÓN",IF($K103="","FALTA TIPO",IF(AND($K103&lt;&gt;"A",$J103=""),"FALTA TIEMPO",IF(AND($K103="T",OR($G103="",$H103="",$I103="")),"REVISAR TRANSPORTE",IF($U103="REVISAR","REVISAR PRECEDENCIA","OK"))))))))</x:f>
      </x:c>
    </x:row>
    <x:row r="104" ht="24" customHeight="1">
      <x:c r="A104" s="326" t="str">
        <x:f>IF($E104="","",COUNTA($E$19:E104))</x:f>
      </x:c>
      <x:c r="B104" s="327"/>
      <x:c r="C104" s="327"/>
      <x:c r="D104" s="327"/>
      <x:c r="E104" s="328"/>
      <x:c r="F104" s="328"/>
      <x:c r="G104" s="328"/>
      <x:c r="H104" s="328"/>
      <x:c r="I104" s="329"/>
      <x:c r="J104" s="329"/>
      <x:c r="K104" s="327"/>
      <x:c r="L104" s="330" t="str">
        <x:f>IF($K104="O", "●", "")</x:f>
      </x:c>
      <x:c r="M104" s="331" t="str">
        <x:f>IF($K104="T", "➜", "")</x:f>
      </x:c>
      <x:c r="N104" s="332" t="str">
        <x:f>IF($K104="I", "■", "")</x:f>
      </x:c>
      <x:c r="O104" s="333" t="str">
        <x:f>IF($K104="E", "D", "")</x:f>
      </x:c>
      <x:c r="P104" s="334" t="str">
        <x:f>IF($K104="A", "▼", "")</x:f>
      </x:c>
      <x:c r="Q104" s="335"/>
      <x:c r="R104" s="335"/>
      <x:c r="S104" s="335"/>
      <x:c r="T104" s="335"/>
      <x:c r="U104" s="336" t="str">
        <x:f>IF(OR($B104="",$E104="",$K104="",AND($K104&lt;&gt;"A",$J104="")),"",IF(OR(AND($Q104&lt;&gt;"",COUNTIF($B$19:$B103,$Q104)=0),AND($R104&lt;&gt;"",COUNTIF($B$19:$B103,$R104)=0),AND($S104&lt;&gt;"",COUNTIF($B$19:$B103,$S104)=0),AND($T104&lt;&gt;"",COUNTIF($B$19:$B103,$T104)=0)),"REVISAR",MAX(IFERROR(INDEX($V$19:$V103,MATCH($Q104,$B$19:$B103,0)),0),IFERROR(INDEX($V$19:$V103,MATCH($R104,$B$19:$B103,0)),0),IFERROR(INDEX($V$19:$V103,MATCH($S104,$B$19:$B103,0)),0),IFERROR(INDEX($V$19:$V103,MATCH($T104,$B$19:$B103,0)),0))))</x:f>
      </x:c>
      <x:c r="V104" s="336" t="str">
        <x:f>IF(ISNUMBER($U104),$U104+IF($J104="",0,$J104),"")</x:f>
      </x:c>
      <x:c r="W104" s="337"/>
      <x:c r="X104" s="338" t="str">
        <x:f>IF(COUNTA($B104:$K104)+COUNTA($Q104:$T104)+COUNTA($W104)=0,"",IF($B104="","FALTA ID",IF(COUNTIF($B$19:$B$118,$B104)&gt;1,"ID REPETIDO",IF($E104="","FALTA DESCRIPCIÓN",IF($K104="","FALTA TIPO",IF(AND($K104&lt;&gt;"A",$J104=""),"FALTA TIEMPO",IF(AND($K104="T",OR($G104="",$H104="",$I104="")),"REVISAR TRANSPORTE",IF($U104="REVISAR","REVISAR PRECEDENCIA","OK"))))))))</x:f>
      </x:c>
    </x:row>
    <x:row r="105" ht="24" customHeight="1">
      <x:c r="A105" s="326" t="str">
        <x:f>IF($E105="","",COUNTA($E$19:E105))</x:f>
      </x:c>
      <x:c r="B105" s="327"/>
      <x:c r="C105" s="327"/>
      <x:c r="D105" s="327"/>
      <x:c r="E105" s="328"/>
      <x:c r="F105" s="328"/>
      <x:c r="G105" s="328"/>
      <x:c r="H105" s="328"/>
      <x:c r="I105" s="329"/>
      <x:c r="J105" s="329"/>
      <x:c r="K105" s="327"/>
      <x:c r="L105" s="330" t="str">
        <x:f>IF($K105="O", "●", "")</x:f>
      </x:c>
      <x:c r="M105" s="331" t="str">
        <x:f>IF($K105="T", "➜", "")</x:f>
      </x:c>
      <x:c r="N105" s="332" t="str">
        <x:f>IF($K105="I", "■", "")</x:f>
      </x:c>
      <x:c r="O105" s="333" t="str">
        <x:f>IF($K105="E", "D", "")</x:f>
      </x:c>
      <x:c r="P105" s="334" t="str">
        <x:f>IF($K105="A", "▼", "")</x:f>
      </x:c>
      <x:c r="Q105" s="335"/>
      <x:c r="R105" s="335"/>
      <x:c r="S105" s="335"/>
      <x:c r="T105" s="335"/>
      <x:c r="U105" s="336" t="str">
        <x:f>IF(OR($B105="",$E105="",$K105="",AND($K105&lt;&gt;"A",$J105="")),"",IF(OR(AND($Q105&lt;&gt;"",COUNTIF($B$19:$B104,$Q105)=0),AND($R105&lt;&gt;"",COUNTIF($B$19:$B104,$R105)=0),AND($S105&lt;&gt;"",COUNTIF($B$19:$B104,$S105)=0),AND($T105&lt;&gt;"",COUNTIF($B$19:$B104,$T105)=0)),"REVISAR",MAX(IFERROR(INDEX($V$19:$V104,MATCH($Q105,$B$19:$B104,0)),0),IFERROR(INDEX($V$19:$V104,MATCH($R105,$B$19:$B104,0)),0),IFERROR(INDEX($V$19:$V104,MATCH($S105,$B$19:$B104,0)),0),IFERROR(INDEX($V$19:$V104,MATCH($T105,$B$19:$B104,0)),0))))</x:f>
      </x:c>
      <x:c r="V105" s="336" t="str">
        <x:f>IF(ISNUMBER($U105),$U105+IF($J105="",0,$J105),"")</x:f>
      </x:c>
      <x:c r="W105" s="337"/>
      <x:c r="X105" s="338" t="str">
        <x:f>IF(COUNTA($B105:$K105)+COUNTA($Q105:$T105)+COUNTA($W105)=0,"",IF($B105="","FALTA ID",IF(COUNTIF($B$19:$B$118,$B105)&gt;1,"ID REPETIDO",IF($E105="","FALTA DESCRIPCIÓN",IF($K105="","FALTA TIPO",IF(AND($K105&lt;&gt;"A",$J105=""),"FALTA TIEMPO",IF(AND($K105="T",OR($G105="",$H105="",$I105="")),"REVISAR TRANSPORTE",IF($U105="REVISAR","REVISAR PRECEDENCIA","OK"))))))))</x:f>
      </x:c>
    </x:row>
    <x:row r="106" ht="24" customHeight="1">
      <x:c r="A106" s="326" t="str">
        <x:f>IF($E106="","",COUNTA($E$19:E106))</x:f>
      </x:c>
      <x:c r="B106" s="327"/>
      <x:c r="C106" s="327"/>
      <x:c r="D106" s="327"/>
      <x:c r="E106" s="328"/>
      <x:c r="F106" s="328"/>
      <x:c r="G106" s="328"/>
      <x:c r="H106" s="328"/>
      <x:c r="I106" s="329"/>
      <x:c r="J106" s="329"/>
      <x:c r="K106" s="327"/>
      <x:c r="L106" s="330" t="str">
        <x:f>IF($K106="O", "●", "")</x:f>
      </x:c>
      <x:c r="M106" s="331" t="str">
        <x:f>IF($K106="T", "➜", "")</x:f>
      </x:c>
      <x:c r="N106" s="332" t="str">
        <x:f>IF($K106="I", "■", "")</x:f>
      </x:c>
      <x:c r="O106" s="333" t="str">
        <x:f>IF($K106="E", "D", "")</x:f>
      </x:c>
      <x:c r="P106" s="334" t="str">
        <x:f>IF($K106="A", "▼", "")</x:f>
      </x:c>
      <x:c r="Q106" s="335"/>
      <x:c r="R106" s="335"/>
      <x:c r="S106" s="335"/>
      <x:c r="T106" s="335"/>
      <x:c r="U106" s="336" t="str">
        <x:f>IF(OR($B106="",$E106="",$K106="",AND($K106&lt;&gt;"A",$J106="")),"",IF(OR(AND($Q106&lt;&gt;"",COUNTIF($B$19:$B105,$Q106)=0),AND($R106&lt;&gt;"",COUNTIF($B$19:$B105,$R106)=0),AND($S106&lt;&gt;"",COUNTIF($B$19:$B105,$S106)=0),AND($T106&lt;&gt;"",COUNTIF($B$19:$B105,$T106)=0)),"REVISAR",MAX(IFERROR(INDEX($V$19:$V105,MATCH($Q106,$B$19:$B105,0)),0),IFERROR(INDEX($V$19:$V105,MATCH($R106,$B$19:$B105,0)),0),IFERROR(INDEX($V$19:$V105,MATCH($S106,$B$19:$B105,0)),0),IFERROR(INDEX($V$19:$V105,MATCH($T106,$B$19:$B105,0)),0))))</x:f>
      </x:c>
      <x:c r="V106" s="336" t="str">
        <x:f>IF(ISNUMBER($U106),$U106+IF($J106="",0,$J106),"")</x:f>
      </x:c>
      <x:c r="W106" s="337"/>
      <x:c r="X106" s="338" t="str">
        <x:f>IF(COUNTA($B106:$K106)+COUNTA($Q106:$T106)+COUNTA($W106)=0,"",IF($B106="","FALTA ID",IF(COUNTIF($B$19:$B$118,$B106)&gt;1,"ID REPETIDO",IF($E106="","FALTA DESCRIPCIÓN",IF($K106="","FALTA TIPO",IF(AND($K106&lt;&gt;"A",$J106=""),"FALTA TIEMPO",IF(AND($K106="T",OR($G106="",$H106="",$I106="")),"REVISAR TRANSPORTE",IF($U106="REVISAR","REVISAR PRECEDENCIA","OK"))))))))</x:f>
      </x:c>
    </x:row>
    <x:row r="107" ht="24" customHeight="1">
      <x:c r="A107" s="326" t="str">
        <x:f>IF($E107="","",COUNTA($E$19:E107))</x:f>
      </x:c>
      <x:c r="B107" s="327"/>
      <x:c r="C107" s="327"/>
      <x:c r="D107" s="327"/>
      <x:c r="E107" s="328"/>
      <x:c r="F107" s="328"/>
      <x:c r="G107" s="328"/>
      <x:c r="H107" s="328"/>
      <x:c r="I107" s="329"/>
      <x:c r="J107" s="329"/>
      <x:c r="K107" s="327"/>
      <x:c r="L107" s="330" t="str">
        <x:f>IF($K107="O", "●", "")</x:f>
      </x:c>
      <x:c r="M107" s="331" t="str">
        <x:f>IF($K107="T", "➜", "")</x:f>
      </x:c>
      <x:c r="N107" s="332" t="str">
        <x:f>IF($K107="I", "■", "")</x:f>
      </x:c>
      <x:c r="O107" s="333" t="str">
        <x:f>IF($K107="E", "D", "")</x:f>
      </x:c>
      <x:c r="P107" s="334" t="str">
        <x:f>IF($K107="A", "▼", "")</x:f>
      </x:c>
      <x:c r="Q107" s="335"/>
      <x:c r="R107" s="335"/>
      <x:c r="S107" s="335"/>
      <x:c r="T107" s="335"/>
      <x:c r="U107" s="336" t="str">
        <x:f>IF(OR($B107="",$E107="",$K107="",AND($K107&lt;&gt;"A",$J107="")),"",IF(OR(AND($Q107&lt;&gt;"",COUNTIF($B$19:$B106,$Q107)=0),AND($R107&lt;&gt;"",COUNTIF($B$19:$B106,$R107)=0),AND($S107&lt;&gt;"",COUNTIF($B$19:$B106,$S107)=0),AND($T107&lt;&gt;"",COUNTIF($B$19:$B106,$T107)=0)),"REVISAR",MAX(IFERROR(INDEX($V$19:$V106,MATCH($Q107,$B$19:$B106,0)),0),IFERROR(INDEX($V$19:$V106,MATCH($R107,$B$19:$B106,0)),0),IFERROR(INDEX($V$19:$V106,MATCH($S107,$B$19:$B106,0)),0),IFERROR(INDEX($V$19:$V106,MATCH($T107,$B$19:$B106,0)),0))))</x:f>
      </x:c>
      <x:c r="V107" s="336" t="str">
        <x:f>IF(ISNUMBER($U107),$U107+IF($J107="",0,$J107),"")</x:f>
      </x:c>
      <x:c r="W107" s="337"/>
      <x:c r="X107" s="338" t="str">
        <x:f>IF(COUNTA($B107:$K107)+COUNTA($Q107:$T107)+COUNTA($W107)=0,"",IF($B107="","FALTA ID",IF(COUNTIF($B$19:$B$118,$B107)&gt;1,"ID REPETIDO",IF($E107="","FALTA DESCRIPCIÓN",IF($K107="","FALTA TIPO",IF(AND($K107&lt;&gt;"A",$J107=""),"FALTA TIEMPO",IF(AND($K107="T",OR($G107="",$H107="",$I107="")),"REVISAR TRANSPORTE",IF($U107="REVISAR","REVISAR PRECEDENCIA","OK"))))))))</x:f>
      </x:c>
    </x:row>
    <x:row r="108" ht="24" customHeight="1">
      <x:c r="A108" s="326" t="str">
        <x:f>IF($E108="","",COUNTA($E$19:E108))</x:f>
      </x:c>
      <x:c r="B108" s="327"/>
      <x:c r="C108" s="327"/>
      <x:c r="D108" s="327"/>
      <x:c r="E108" s="328"/>
      <x:c r="F108" s="328"/>
      <x:c r="G108" s="328"/>
      <x:c r="H108" s="328"/>
      <x:c r="I108" s="329"/>
      <x:c r="J108" s="329"/>
      <x:c r="K108" s="327"/>
      <x:c r="L108" s="330" t="str">
        <x:f>IF($K108="O", "●", "")</x:f>
      </x:c>
      <x:c r="M108" s="331" t="str">
        <x:f>IF($K108="T", "➜", "")</x:f>
      </x:c>
      <x:c r="N108" s="332" t="str">
        <x:f>IF($K108="I", "■", "")</x:f>
      </x:c>
      <x:c r="O108" s="333" t="str">
        <x:f>IF($K108="E", "D", "")</x:f>
      </x:c>
      <x:c r="P108" s="334" t="str">
        <x:f>IF($K108="A", "▼", "")</x:f>
      </x:c>
      <x:c r="Q108" s="335"/>
      <x:c r="R108" s="335"/>
      <x:c r="S108" s="335"/>
      <x:c r="T108" s="335"/>
      <x:c r="U108" s="336" t="str">
        <x:f>IF(OR($B108="",$E108="",$K108="",AND($K108&lt;&gt;"A",$J108="")),"",IF(OR(AND($Q108&lt;&gt;"",COUNTIF($B$19:$B107,$Q108)=0),AND($R108&lt;&gt;"",COUNTIF($B$19:$B107,$R108)=0),AND($S108&lt;&gt;"",COUNTIF($B$19:$B107,$S108)=0),AND($T108&lt;&gt;"",COUNTIF($B$19:$B107,$T108)=0)),"REVISAR",MAX(IFERROR(INDEX($V$19:$V107,MATCH($Q108,$B$19:$B107,0)),0),IFERROR(INDEX($V$19:$V107,MATCH($R108,$B$19:$B107,0)),0),IFERROR(INDEX($V$19:$V107,MATCH($S108,$B$19:$B107,0)),0),IFERROR(INDEX($V$19:$V107,MATCH($T108,$B$19:$B107,0)),0))))</x:f>
      </x:c>
      <x:c r="V108" s="336" t="str">
        <x:f>IF(ISNUMBER($U108),$U108+IF($J108="",0,$J108),"")</x:f>
      </x:c>
      <x:c r="W108" s="337"/>
      <x:c r="X108" s="338" t="str">
        <x:f>IF(COUNTA($B108:$K108)+COUNTA($Q108:$T108)+COUNTA($W108)=0,"",IF($B108="","FALTA ID",IF(COUNTIF($B$19:$B$118,$B108)&gt;1,"ID REPETIDO",IF($E108="","FALTA DESCRIPCIÓN",IF($K108="","FALTA TIPO",IF(AND($K108&lt;&gt;"A",$J108=""),"FALTA TIEMPO",IF(AND($K108="T",OR($G108="",$H108="",$I108="")),"REVISAR TRANSPORTE",IF($U108="REVISAR","REVISAR PRECEDENCIA","OK"))))))))</x:f>
      </x:c>
    </x:row>
    <x:row r="109" ht="24" customHeight="1">
      <x:c r="A109" s="326" t="str">
        <x:f>IF($E109="","",COUNTA($E$19:E109))</x:f>
      </x:c>
      <x:c r="B109" s="327"/>
      <x:c r="C109" s="327"/>
      <x:c r="D109" s="327"/>
      <x:c r="E109" s="328"/>
      <x:c r="F109" s="328"/>
      <x:c r="G109" s="328"/>
      <x:c r="H109" s="328"/>
      <x:c r="I109" s="329"/>
      <x:c r="J109" s="329"/>
      <x:c r="K109" s="327"/>
      <x:c r="L109" s="330" t="str">
        <x:f>IF($K109="O", "●", "")</x:f>
      </x:c>
      <x:c r="M109" s="331" t="str">
        <x:f>IF($K109="T", "➜", "")</x:f>
      </x:c>
      <x:c r="N109" s="332" t="str">
        <x:f>IF($K109="I", "■", "")</x:f>
      </x:c>
      <x:c r="O109" s="333" t="str">
        <x:f>IF($K109="E", "D", "")</x:f>
      </x:c>
      <x:c r="P109" s="334" t="str">
        <x:f>IF($K109="A", "▼", "")</x:f>
      </x:c>
      <x:c r="Q109" s="335"/>
      <x:c r="R109" s="335"/>
      <x:c r="S109" s="335"/>
      <x:c r="T109" s="335"/>
      <x:c r="U109" s="336" t="str">
        <x:f>IF(OR($B109="",$E109="",$K109="",AND($K109&lt;&gt;"A",$J109="")),"",IF(OR(AND($Q109&lt;&gt;"",COUNTIF($B$19:$B108,$Q109)=0),AND($R109&lt;&gt;"",COUNTIF($B$19:$B108,$R109)=0),AND($S109&lt;&gt;"",COUNTIF($B$19:$B108,$S109)=0),AND($T109&lt;&gt;"",COUNTIF($B$19:$B108,$T109)=0)),"REVISAR",MAX(IFERROR(INDEX($V$19:$V108,MATCH($Q109,$B$19:$B108,0)),0),IFERROR(INDEX($V$19:$V108,MATCH($R109,$B$19:$B108,0)),0),IFERROR(INDEX($V$19:$V108,MATCH($S109,$B$19:$B108,0)),0),IFERROR(INDEX($V$19:$V108,MATCH($T109,$B$19:$B108,0)),0))))</x:f>
      </x:c>
      <x:c r="V109" s="336" t="str">
        <x:f>IF(ISNUMBER($U109),$U109+IF($J109="",0,$J109),"")</x:f>
      </x:c>
      <x:c r="W109" s="337"/>
      <x:c r="X109" s="338" t="str">
        <x:f>IF(COUNTA($B109:$K109)+COUNTA($Q109:$T109)+COUNTA($W109)=0,"",IF($B109="","FALTA ID",IF(COUNTIF($B$19:$B$118,$B109)&gt;1,"ID REPETIDO",IF($E109="","FALTA DESCRIPCIÓN",IF($K109="","FALTA TIPO",IF(AND($K109&lt;&gt;"A",$J109=""),"FALTA TIEMPO",IF(AND($K109="T",OR($G109="",$H109="",$I109="")),"REVISAR TRANSPORTE",IF($U109="REVISAR","REVISAR PRECEDENCIA","OK"))))))))</x:f>
      </x:c>
    </x:row>
    <x:row r="110" ht="24" customHeight="1">
      <x:c r="A110" s="326" t="str">
        <x:f>IF($E110="","",COUNTA($E$19:E110))</x:f>
      </x:c>
      <x:c r="B110" s="327"/>
      <x:c r="C110" s="327"/>
      <x:c r="D110" s="327"/>
      <x:c r="E110" s="328"/>
      <x:c r="F110" s="328"/>
      <x:c r="G110" s="328"/>
      <x:c r="H110" s="328"/>
      <x:c r="I110" s="329"/>
      <x:c r="J110" s="329"/>
      <x:c r="K110" s="327"/>
      <x:c r="L110" s="330" t="str">
        <x:f>IF($K110="O", "●", "")</x:f>
      </x:c>
      <x:c r="M110" s="331" t="str">
        <x:f>IF($K110="T", "➜", "")</x:f>
      </x:c>
      <x:c r="N110" s="332" t="str">
        <x:f>IF($K110="I", "■", "")</x:f>
      </x:c>
      <x:c r="O110" s="333" t="str">
        <x:f>IF($K110="E", "D", "")</x:f>
      </x:c>
      <x:c r="P110" s="334" t="str">
        <x:f>IF($K110="A", "▼", "")</x:f>
      </x:c>
      <x:c r="Q110" s="335"/>
      <x:c r="R110" s="335"/>
      <x:c r="S110" s="335"/>
      <x:c r="T110" s="335"/>
      <x:c r="U110" s="336" t="str">
        <x:f>IF(OR($B110="",$E110="",$K110="",AND($K110&lt;&gt;"A",$J110="")),"",IF(OR(AND($Q110&lt;&gt;"",COUNTIF($B$19:$B109,$Q110)=0),AND($R110&lt;&gt;"",COUNTIF($B$19:$B109,$R110)=0),AND($S110&lt;&gt;"",COUNTIF($B$19:$B109,$S110)=0),AND($T110&lt;&gt;"",COUNTIF($B$19:$B109,$T110)=0)),"REVISAR",MAX(IFERROR(INDEX($V$19:$V109,MATCH($Q110,$B$19:$B109,0)),0),IFERROR(INDEX($V$19:$V109,MATCH($R110,$B$19:$B109,0)),0),IFERROR(INDEX($V$19:$V109,MATCH($S110,$B$19:$B109,0)),0),IFERROR(INDEX($V$19:$V109,MATCH($T110,$B$19:$B109,0)),0))))</x:f>
      </x:c>
      <x:c r="V110" s="336" t="str">
        <x:f>IF(ISNUMBER($U110),$U110+IF($J110="",0,$J110),"")</x:f>
      </x:c>
      <x:c r="W110" s="337"/>
      <x:c r="X110" s="338" t="str">
        <x:f>IF(COUNTA($B110:$K110)+COUNTA($Q110:$T110)+COUNTA($W110)=0,"",IF($B110="","FALTA ID",IF(COUNTIF($B$19:$B$118,$B110)&gt;1,"ID REPETIDO",IF($E110="","FALTA DESCRIPCIÓN",IF($K110="","FALTA TIPO",IF(AND($K110&lt;&gt;"A",$J110=""),"FALTA TIEMPO",IF(AND($K110="T",OR($G110="",$H110="",$I110="")),"REVISAR TRANSPORTE",IF($U110="REVISAR","REVISAR PRECEDENCIA","OK"))))))))</x:f>
      </x:c>
    </x:row>
    <x:row r="111" ht="24" customHeight="1">
      <x:c r="A111" s="326" t="str">
        <x:f>IF($E111="","",COUNTA($E$19:E111))</x:f>
      </x:c>
      <x:c r="B111" s="327"/>
      <x:c r="C111" s="327"/>
      <x:c r="D111" s="327"/>
      <x:c r="E111" s="328"/>
      <x:c r="F111" s="328"/>
      <x:c r="G111" s="328"/>
      <x:c r="H111" s="328"/>
      <x:c r="I111" s="329"/>
      <x:c r="J111" s="329"/>
      <x:c r="K111" s="327"/>
      <x:c r="L111" s="330" t="str">
        <x:f>IF($K111="O", "●", "")</x:f>
      </x:c>
      <x:c r="M111" s="331" t="str">
        <x:f>IF($K111="T", "➜", "")</x:f>
      </x:c>
      <x:c r="N111" s="332" t="str">
        <x:f>IF($K111="I", "■", "")</x:f>
      </x:c>
      <x:c r="O111" s="333" t="str">
        <x:f>IF($K111="E", "D", "")</x:f>
      </x:c>
      <x:c r="P111" s="334" t="str">
        <x:f>IF($K111="A", "▼", "")</x:f>
      </x:c>
      <x:c r="Q111" s="335"/>
      <x:c r="R111" s="335"/>
      <x:c r="S111" s="335"/>
      <x:c r="T111" s="335"/>
      <x:c r="U111" s="336" t="str">
        <x:f>IF(OR($B111="",$E111="",$K111="",AND($K111&lt;&gt;"A",$J111="")),"",IF(OR(AND($Q111&lt;&gt;"",COUNTIF($B$19:$B110,$Q111)=0),AND($R111&lt;&gt;"",COUNTIF($B$19:$B110,$R111)=0),AND($S111&lt;&gt;"",COUNTIF($B$19:$B110,$S111)=0),AND($T111&lt;&gt;"",COUNTIF($B$19:$B110,$T111)=0)),"REVISAR",MAX(IFERROR(INDEX($V$19:$V110,MATCH($Q111,$B$19:$B110,0)),0),IFERROR(INDEX($V$19:$V110,MATCH($R111,$B$19:$B110,0)),0),IFERROR(INDEX($V$19:$V110,MATCH($S111,$B$19:$B110,0)),0),IFERROR(INDEX($V$19:$V110,MATCH($T111,$B$19:$B110,0)),0))))</x:f>
      </x:c>
      <x:c r="V111" s="336" t="str">
        <x:f>IF(ISNUMBER($U111),$U111+IF($J111="",0,$J111),"")</x:f>
      </x:c>
      <x:c r="W111" s="337"/>
      <x:c r="X111" s="338" t="str">
        <x:f>IF(COUNTA($B111:$K111)+COUNTA($Q111:$T111)+COUNTA($W111)=0,"",IF($B111="","FALTA ID",IF(COUNTIF($B$19:$B$118,$B111)&gt;1,"ID REPETIDO",IF($E111="","FALTA DESCRIPCIÓN",IF($K111="","FALTA TIPO",IF(AND($K111&lt;&gt;"A",$J111=""),"FALTA TIEMPO",IF(AND($K111="T",OR($G111="",$H111="",$I111="")),"REVISAR TRANSPORTE",IF($U111="REVISAR","REVISAR PRECEDENCIA","OK"))))))))</x:f>
      </x:c>
    </x:row>
    <x:row r="112" ht="24" customHeight="1">
      <x:c r="A112" s="326" t="str">
        <x:f>IF($E112="","",COUNTA($E$19:E112))</x:f>
      </x:c>
      <x:c r="B112" s="327"/>
      <x:c r="C112" s="327"/>
      <x:c r="D112" s="327"/>
      <x:c r="E112" s="328"/>
      <x:c r="F112" s="328"/>
      <x:c r="G112" s="328"/>
      <x:c r="H112" s="328"/>
      <x:c r="I112" s="329"/>
      <x:c r="J112" s="329"/>
      <x:c r="K112" s="327"/>
      <x:c r="L112" s="330" t="str">
        <x:f>IF($K112="O", "●", "")</x:f>
      </x:c>
      <x:c r="M112" s="331" t="str">
        <x:f>IF($K112="T", "➜", "")</x:f>
      </x:c>
      <x:c r="N112" s="332" t="str">
        <x:f>IF($K112="I", "■", "")</x:f>
      </x:c>
      <x:c r="O112" s="333" t="str">
        <x:f>IF($K112="E", "D", "")</x:f>
      </x:c>
      <x:c r="P112" s="334" t="str">
        <x:f>IF($K112="A", "▼", "")</x:f>
      </x:c>
      <x:c r="Q112" s="335"/>
      <x:c r="R112" s="335"/>
      <x:c r="S112" s="335"/>
      <x:c r="T112" s="335"/>
      <x:c r="U112" s="336" t="str">
        <x:f>IF(OR($B112="",$E112="",$K112="",AND($K112&lt;&gt;"A",$J112="")),"",IF(OR(AND($Q112&lt;&gt;"",COUNTIF($B$19:$B111,$Q112)=0),AND($R112&lt;&gt;"",COUNTIF($B$19:$B111,$R112)=0),AND($S112&lt;&gt;"",COUNTIF($B$19:$B111,$S112)=0),AND($T112&lt;&gt;"",COUNTIF($B$19:$B111,$T112)=0)),"REVISAR",MAX(IFERROR(INDEX($V$19:$V111,MATCH($Q112,$B$19:$B111,0)),0),IFERROR(INDEX($V$19:$V111,MATCH($R112,$B$19:$B111,0)),0),IFERROR(INDEX($V$19:$V111,MATCH($S112,$B$19:$B111,0)),0),IFERROR(INDEX($V$19:$V111,MATCH($T112,$B$19:$B111,0)),0))))</x:f>
      </x:c>
      <x:c r="V112" s="336" t="str">
        <x:f>IF(ISNUMBER($U112),$U112+IF($J112="",0,$J112),"")</x:f>
      </x:c>
      <x:c r="W112" s="337"/>
      <x:c r="X112" s="338" t="str">
        <x:f>IF(COUNTA($B112:$K112)+COUNTA($Q112:$T112)+COUNTA($W112)=0,"",IF($B112="","FALTA ID",IF(COUNTIF($B$19:$B$118,$B112)&gt;1,"ID REPETIDO",IF($E112="","FALTA DESCRIPCIÓN",IF($K112="","FALTA TIPO",IF(AND($K112&lt;&gt;"A",$J112=""),"FALTA TIEMPO",IF(AND($K112="T",OR($G112="",$H112="",$I112="")),"REVISAR TRANSPORTE",IF($U112="REVISAR","REVISAR PRECEDENCIA","OK"))))))))</x:f>
      </x:c>
    </x:row>
    <x:row r="113" ht="24" customHeight="1">
      <x:c r="A113" s="326" t="str">
        <x:f>IF($E113="","",COUNTA($E$19:E113))</x:f>
      </x:c>
      <x:c r="B113" s="327"/>
      <x:c r="C113" s="327"/>
      <x:c r="D113" s="327"/>
      <x:c r="E113" s="328"/>
      <x:c r="F113" s="328"/>
      <x:c r="G113" s="328"/>
      <x:c r="H113" s="328"/>
      <x:c r="I113" s="329"/>
      <x:c r="J113" s="329"/>
      <x:c r="K113" s="327"/>
      <x:c r="L113" s="330" t="str">
        <x:f>IF($K113="O", "●", "")</x:f>
      </x:c>
      <x:c r="M113" s="331" t="str">
        <x:f>IF($K113="T", "➜", "")</x:f>
      </x:c>
      <x:c r="N113" s="332" t="str">
        <x:f>IF($K113="I", "■", "")</x:f>
      </x:c>
      <x:c r="O113" s="333" t="str">
        <x:f>IF($K113="E", "D", "")</x:f>
      </x:c>
      <x:c r="P113" s="334" t="str">
        <x:f>IF($K113="A", "▼", "")</x:f>
      </x:c>
      <x:c r="Q113" s="335"/>
      <x:c r="R113" s="335"/>
      <x:c r="S113" s="335"/>
      <x:c r="T113" s="335"/>
      <x:c r="U113" s="336" t="str">
        <x:f>IF(OR($B113="",$E113="",$K113="",AND($K113&lt;&gt;"A",$J113="")),"",IF(OR(AND($Q113&lt;&gt;"",COUNTIF($B$19:$B112,$Q113)=0),AND($R113&lt;&gt;"",COUNTIF($B$19:$B112,$R113)=0),AND($S113&lt;&gt;"",COUNTIF($B$19:$B112,$S113)=0),AND($T113&lt;&gt;"",COUNTIF($B$19:$B112,$T113)=0)),"REVISAR",MAX(IFERROR(INDEX($V$19:$V112,MATCH($Q113,$B$19:$B112,0)),0),IFERROR(INDEX($V$19:$V112,MATCH($R113,$B$19:$B112,0)),0),IFERROR(INDEX($V$19:$V112,MATCH($S113,$B$19:$B112,0)),0),IFERROR(INDEX($V$19:$V112,MATCH($T113,$B$19:$B112,0)),0))))</x:f>
      </x:c>
      <x:c r="V113" s="336" t="str">
        <x:f>IF(ISNUMBER($U113),$U113+IF($J113="",0,$J113),"")</x:f>
      </x:c>
      <x:c r="W113" s="337"/>
      <x:c r="X113" s="338" t="str">
        <x:f>IF(COUNTA($B113:$K113)+COUNTA($Q113:$T113)+COUNTA($W113)=0,"",IF($B113="","FALTA ID",IF(COUNTIF($B$19:$B$118,$B113)&gt;1,"ID REPETIDO",IF($E113="","FALTA DESCRIPCIÓN",IF($K113="","FALTA TIPO",IF(AND($K113&lt;&gt;"A",$J113=""),"FALTA TIEMPO",IF(AND($K113="T",OR($G113="",$H113="",$I113="")),"REVISAR TRANSPORTE",IF($U113="REVISAR","REVISAR PRECEDENCIA","OK"))))))))</x:f>
      </x:c>
    </x:row>
    <x:row r="114" ht="24" customHeight="1">
      <x:c r="A114" s="326" t="str">
        <x:f>IF($E114="","",COUNTA($E$19:E114))</x:f>
      </x:c>
      <x:c r="B114" s="327"/>
      <x:c r="C114" s="327"/>
      <x:c r="D114" s="327"/>
      <x:c r="E114" s="328"/>
      <x:c r="F114" s="328"/>
      <x:c r="G114" s="328"/>
      <x:c r="H114" s="328"/>
      <x:c r="I114" s="329"/>
      <x:c r="J114" s="329"/>
      <x:c r="K114" s="327"/>
      <x:c r="L114" s="330" t="str">
        <x:f>IF($K114="O", "●", "")</x:f>
      </x:c>
      <x:c r="M114" s="331" t="str">
        <x:f>IF($K114="T", "➜", "")</x:f>
      </x:c>
      <x:c r="N114" s="332" t="str">
        <x:f>IF($K114="I", "■", "")</x:f>
      </x:c>
      <x:c r="O114" s="333" t="str">
        <x:f>IF($K114="E", "D", "")</x:f>
      </x:c>
      <x:c r="P114" s="334" t="str">
        <x:f>IF($K114="A", "▼", "")</x:f>
      </x:c>
      <x:c r="Q114" s="335"/>
      <x:c r="R114" s="335"/>
      <x:c r="S114" s="335"/>
      <x:c r="T114" s="335"/>
      <x:c r="U114" s="336" t="str">
        <x:f>IF(OR($B114="",$E114="",$K114="",AND($K114&lt;&gt;"A",$J114="")),"",IF(OR(AND($Q114&lt;&gt;"",COUNTIF($B$19:$B113,$Q114)=0),AND($R114&lt;&gt;"",COUNTIF($B$19:$B113,$R114)=0),AND($S114&lt;&gt;"",COUNTIF($B$19:$B113,$S114)=0),AND($T114&lt;&gt;"",COUNTIF($B$19:$B113,$T114)=0)),"REVISAR",MAX(IFERROR(INDEX($V$19:$V113,MATCH($Q114,$B$19:$B113,0)),0),IFERROR(INDEX($V$19:$V113,MATCH($R114,$B$19:$B113,0)),0),IFERROR(INDEX($V$19:$V113,MATCH($S114,$B$19:$B113,0)),0),IFERROR(INDEX($V$19:$V113,MATCH($T114,$B$19:$B113,0)),0))))</x:f>
      </x:c>
      <x:c r="V114" s="336" t="str">
        <x:f>IF(ISNUMBER($U114),$U114+IF($J114="",0,$J114),"")</x:f>
      </x:c>
      <x:c r="W114" s="337"/>
      <x:c r="X114" s="338" t="str">
        <x:f>IF(COUNTA($B114:$K114)+COUNTA($Q114:$T114)+COUNTA($W114)=0,"",IF($B114="","FALTA ID",IF(COUNTIF($B$19:$B$118,$B114)&gt;1,"ID REPETIDO",IF($E114="","FALTA DESCRIPCIÓN",IF($K114="","FALTA TIPO",IF(AND($K114&lt;&gt;"A",$J114=""),"FALTA TIEMPO",IF(AND($K114="T",OR($G114="",$H114="",$I114="")),"REVISAR TRANSPORTE",IF($U114="REVISAR","REVISAR PRECEDENCIA","OK"))))))))</x:f>
      </x:c>
    </x:row>
    <x:row r="115" ht="24" customHeight="1">
      <x:c r="A115" s="326" t="str">
        <x:f>IF($E115="","",COUNTA($E$19:E115))</x:f>
      </x:c>
      <x:c r="B115" s="327"/>
      <x:c r="C115" s="327"/>
      <x:c r="D115" s="327"/>
      <x:c r="E115" s="328"/>
      <x:c r="F115" s="328"/>
      <x:c r="G115" s="328"/>
      <x:c r="H115" s="328"/>
      <x:c r="I115" s="329"/>
      <x:c r="J115" s="329"/>
      <x:c r="K115" s="327"/>
      <x:c r="L115" s="330" t="str">
        <x:f>IF($K115="O", "●", "")</x:f>
      </x:c>
      <x:c r="M115" s="331" t="str">
        <x:f>IF($K115="T", "➜", "")</x:f>
      </x:c>
      <x:c r="N115" s="332" t="str">
        <x:f>IF($K115="I", "■", "")</x:f>
      </x:c>
      <x:c r="O115" s="333" t="str">
        <x:f>IF($K115="E", "D", "")</x:f>
      </x:c>
      <x:c r="P115" s="334" t="str">
        <x:f>IF($K115="A", "▼", "")</x:f>
      </x:c>
      <x:c r="Q115" s="335"/>
      <x:c r="R115" s="335"/>
      <x:c r="S115" s="335"/>
      <x:c r="T115" s="335"/>
      <x:c r="U115" s="336" t="str">
        <x:f>IF(OR($B115="",$E115="",$K115="",AND($K115&lt;&gt;"A",$J115="")),"",IF(OR(AND($Q115&lt;&gt;"",COUNTIF($B$19:$B114,$Q115)=0),AND($R115&lt;&gt;"",COUNTIF($B$19:$B114,$R115)=0),AND($S115&lt;&gt;"",COUNTIF($B$19:$B114,$S115)=0),AND($T115&lt;&gt;"",COUNTIF($B$19:$B114,$T115)=0)),"REVISAR",MAX(IFERROR(INDEX($V$19:$V114,MATCH($Q115,$B$19:$B114,0)),0),IFERROR(INDEX($V$19:$V114,MATCH($R115,$B$19:$B114,0)),0),IFERROR(INDEX($V$19:$V114,MATCH($S115,$B$19:$B114,0)),0),IFERROR(INDEX($V$19:$V114,MATCH($T115,$B$19:$B114,0)),0))))</x:f>
      </x:c>
      <x:c r="V115" s="336" t="str">
        <x:f>IF(ISNUMBER($U115),$U115+IF($J115="",0,$J115),"")</x:f>
      </x:c>
      <x:c r="W115" s="337"/>
      <x:c r="X115" s="338" t="str">
        <x:f>IF(COUNTA($B115:$K115)+COUNTA($Q115:$T115)+COUNTA($W115)=0,"",IF($B115="","FALTA ID",IF(COUNTIF($B$19:$B$118,$B115)&gt;1,"ID REPETIDO",IF($E115="","FALTA DESCRIPCIÓN",IF($K115="","FALTA TIPO",IF(AND($K115&lt;&gt;"A",$J115=""),"FALTA TIEMPO",IF(AND($K115="T",OR($G115="",$H115="",$I115="")),"REVISAR TRANSPORTE",IF($U115="REVISAR","REVISAR PRECEDENCIA","OK"))))))))</x:f>
      </x:c>
    </x:row>
    <x:row r="116" ht="24" customHeight="1">
      <x:c r="A116" s="326" t="str">
        <x:f>IF($E116="","",COUNTA($E$19:E116))</x:f>
      </x:c>
      <x:c r="B116" s="327"/>
      <x:c r="C116" s="327"/>
      <x:c r="D116" s="327"/>
      <x:c r="E116" s="328"/>
      <x:c r="F116" s="328"/>
      <x:c r="G116" s="328"/>
      <x:c r="H116" s="328"/>
      <x:c r="I116" s="329"/>
      <x:c r="J116" s="329"/>
      <x:c r="K116" s="327"/>
      <x:c r="L116" s="330" t="str">
        <x:f>IF($K116="O", "●", "")</x:f>
      </x:c>
      <x:c r="M116" s="331" t="str">
        <x:f>IF($K116="T", "➜", "")</x:f>
      </x:c>
      <x:c r="N116" s="332" t="str">
        <x:f>IF($K116="I", "■", "")</x:f>
      </x:c>
      <x:c r="O116" s="333" t="str">
        <x:f>IF($K116="E", "D", "")</x:f>
      </x:c>
      <x:c r="P116" s="334" t="str">
        <x:f>IF($K116="A", "▼", "")</x:f>
      </x:c>
      <x:c r="Q116" s="335"/>
      <x:c r="R116" s="335"/>
      <x:c r="S116" s="335"/>
      <x:c r="T116" s="335"/>
      <x:c r="U116" s="336" t="str">
        <x:f>IF(OR($B116="",$E116="",$K116="",AND($K116&lt;&gt;"A",$J116="")),"",IF(OR(AND($Q116&lt;&gt;"",COUNTIF($B$19:$B115,$Q116)=0),AND($R116&lt;&gt;"",COUNTIF($B$19:$B115,$R116)=0),AND($S116&lt;&gt;"",COUNTIF($B$19:$B115,$S116)=0),AND($T116&lt;&gt;"",COUNTIF($B$19:$B115,$T116)=0)),"REVISAR",MAX(IFERROR(INDEX($V$19:$V115,MATCH($Q116,$B$19:$B115,0)),0),IFERROR(INDEX($V$19:$V115,MATCH($R116,$B$19:$B115,0)),0),IFERROR(INDEX($V$19:$V115,MATCH($S116,$B$19:$B115,0)),0),IFERROR(INDEX($V$19:$V115,MATCH($T116,$B$19:$B115,0)),0))))</x:f>
      </x:c>
      <x:c r="V116" s="336" t="str">
        <x:f>IF(ISNUMBER($U116),$U116+IF($J116="",0,$J116),"")</x:f>
      </x:c>
      <x:c r="W116" s="337"/>
      <x:c r="X116" s="338" t="str">
        <x:f>IF(COUNTA($B116:$K116)+COUNTA($Q116:$T116)+COUNTA($W116)=0,"",IF($B116="","FALTA ID",IF(COUNTIF($B$19:$B$118,$B116)&gt;1,"ID REPETIDO",IF($E116="","FALTA DESCRIPCIÓN",IF($K116="","FALTA TIPO",IF(AND($K116&lt;&gt;"A",$J116=""),"FALTA TIEMPO",IF(AND($K116="T",OR($G116="",$H116="",$I116="")),"REVISAR TRANSPORTE",IF($U116="REVISAR","REVISAR PRECEDENCIA","OK"))))))))</x:f>
      </x:c>
    </x:row>
    <x:row r="117" ht="24" customHeight="1">
      <x:c r="A117" s="326" t="str">
        <x:f>IF($E117="","",COUNTA($E$19:E117))</x:f>
      </x:c>
      <x:c r="B117" s="327"/>
      <x:c r="C117" s="327"/>
      <x:c r="D117" s="327"/>
      <x:c r="E117" s="328"/>
      <x:c r="F117" s="328"/>
      <x:c r="G117" s="328"/>
      <x:c r="H117" s="328"/>
      <x:c r="I117" s="329"/>
      <x:c r="J117" s="329"/>
      <x:c r="K117" s="327"/>
      <x:c r="L117" s="330" t="str">
        <x:f>IF($K117="O", "●", "")</x:f>
      </x:c>
      <x:c r="M117" s="331" t="str">
        <x:f>IF($K117="T", "➜", "")</x:f>
      </x:c>
      <x:c r="N117" s="332" t="str">
        <x:f>IF($K117="I", "■", "")</x:f>
      </x:c>
      <x:c r="O117" s="333" t="str">
        <x:f>IF($K117="E", "D", "")</x:f>
      </x:c>
      <x:c r="P117" s="334" t="str">
        <x:f>IF($K117="A", "▼", "")</x:f>
      </x:c>
      <x:c r="Q117" s="335"/>
      <x:c r="R117" s="335"/>
      <x:c r="S117" s="335"/>
      <x:c r="T117" s="335"/>
      <x:c r="U117" s="336" t="str">
        <x:f>IF(OR($B117="",$E117="",$K117="",AND($K117&lt;&gt;"A",$J117="")),"",IF(OR(AND($Q117&lt;&gt;"",COUNTIF($B$19:$B116,$Q117)=0),AND($R117&lt;&gt;"",COUNTIF($B$19:$B116,$R117)=0),AND($S117&lt;&gt;"",COUNTIF($B$19:$B116,$S117)=0),AND($T117&lt;&gt;"",COUNTIF($B$19:$B116,$T117)=0)),"REVISAR",MAX(IFERROR(INDEX($V$19:$V116,MATCH($Q117,$B$19:$B116,0)),0),IFERROR(INDEX($V$19:$V116,MATCH($R117,$B$19:$B116,0)),0),IFERROR(INDEX($V$19:$V116,MATCH($S117,$B$19:$B116,0)),0),IFERROR(INDEX($V$19:$V116,MATCH($T117,$B$19:$B116,0)),0))))</x:f>
      </x:c>
      <x:c r="V117" s="336" t="str">
        <x:f>IF(ISNUMBER($U117),$U117+IF($J117="",0,$J117),"")</x:f>
      </x:c>
      <x:c r="W117" s="337"/>
      <x:c r="X117" s="338" t="str">
        <x:f>IF(COUNTA($B117:$K117)+COUNTA($Q117:$T117)+COUNTA($W117)=0,"",IF($B117="","FALTA ID",IF(COUNTIF($B$19:$B$118,$B117)&gt;1,"ID REPETIDO",IF($E117="","FALTA DESCRIPCIÓN",IF($K117="","FALTA TIPO",IF(AND($K117&lt;&gt;"A",$J117=""),"FALTA TIEMPO",IF(AND($K117="T",OR($G117="",$H117="",$I117="")),"REVISAR TRANSPORTE",IF($U117="REVISAR","REVISAR PRECEDENCIA","OK"))))))))</x:f>
      </x:c>
    </x:row>
    <x:row r="118" ht="24" customHeight="1">
      <x:c r="A118" s="326" t="str">
        <x:f>IF($E118="","",COUNTA($E$19:E118))</x:f>
      </x:c>
      <x:c r="B118" s="327"/>
      <x:c r="C118" s="327"/>
      <x:c r="D118" s="327"/>
      <x:c r="E118" s="328"/>
      <x:c r="F118" s="328"/>
      <x:c r="G118" s="328"/>
      <x:c r="H118" s="328"/>
      <x:c r="I118" s="329"/>
      <x:c r="J118" s="329"/>
      <x:c r="K118" s="327"/>
      <x:c r="L118" s="330" t="str">
        <x:f>IF($K118="O", "●", "")</x:f>
      </x:c>
      <x:c r="M118" s="331" t="str">
        <x:f>IF($K118="T", "➜", "")</x:f>
      </x:c>
      <x:c r="N118" s="332" t="str">
        <x:f>IF($K118="I", "■", "")</x:f>
      </x:c>
      <x:c r="O118" s="333" t="str">
        <x:f>IF($K118="E", "D", "")</x:f>
      </x:c>
      <x:c r="P118" s="334" t="str">
        <x:f>IF($K118="A", "▼", "")</x:f>
      </x:c>
      <x:c r="Q118" s="335"/>
      <x:c r="R118" s="335"/>
      <x:c r="S118" s="335"/>
      <x:c r="T118" s="335"/>
      <x:c r="U118" s="336" t="str">
        <x:f>IF(OR($B118="",$E118="",$K118="",AND($K118&lt;&gt;"A",$J118="")),"",IF(OR(AND($Q118&lt;&gt;"",COUNTIF($B$19:$B117,$Q118)=0),AND($R118&lt;&gt;"",COUNTIF($B$19:$B117,$R118)=0),AND($S118&lt;&gt;"",COUNTIF($B$19:$B117,$S118)=0),AND($T118&lt;&gt;"",COUNTIF($B$19:$B117,$T118)=0)),"REVISAR",MAX(IFERROR(INDEX($V$19:$V117,MATCH($Q118,$B$19:$B117,0)),0),IFERROR(INDEX($V$19:$V117,MATCH($R118,$B$19:$B117,0)),0),IFERROR(INDEX($V$19:$V117,MATCH($S118,$B$19:$B117,0)),0),IFERROR(INDEX($V$19:$V117,MATCH($T118,$B$19:$B117,0)),0))))</x:f>
      </x:c>
      <x:c r="V118" s="336" t="str">
        <x:f>IF(ISNUMBER($U118),$U118+IF($J118="",0,$J118),"")</x:f>
      </x:c>
      <x:c r="W118" s="337"/>
      <x:c r="X118" s="338" t="str">
        <x:f>IF(COUNTA($B118:$K118)+COUNTA($Q118:$T118)+COUNTA($W118)=0,"",IF($B118="","FALTA ID",IF(COUNTIF($B$19:$B$118,$B118)&gt;1,"ID REPETIDO",IF($E118="","FALTA DESCRIPCIÓN",IF($K118="","FALTA TIPO",IF(AND($K118&lt;&gt;"A",$J118=""),"FALTA TIEMPO",IF(AND($K118="T",OR($G118="",$H118="",$I118="")),"REVISAR TRANSPORTE",IF($U118="REVISAR","REVISAR PRECEDENCIA","OK"))))))))</x:f>
      </x:c>
    </x:row>
    <x:row r="119" ht="25" customHeight="1">
      <x:c r="A119" s="339" t="str">
        <x:v>TOTALES DEL CURSOGRAMA</x:v>
      </x:c>
      <x:c r="B119" s="340"/>
      <x:c r="C119" s="340"/>
      <x:c r="D119" s="340"/>
      <x:c r="E119" s="340"/>
      <x:c r="F119" s="340"/>
      <x:c r="G119" s="340"/>
      <x:c r="H119" s="340"/>
      <x:c r="I119" s="341" t="n">
        <x:f>SUM(I19:I118)</x:f>
        <x:v>0</x:v>
      </x:c>
      <x:c r="J119" s="341" t="n">
        <x:f>SUM(J19:J118)</x:f>
        <x:v>0</x:v>
      </x:c>
      <x:c r="K119" s="342"/>
      <x:c r="L119" s="342" t="n">
        <x:f>COUNTIF($K$19:$K$118,"O")</x:f>
        <x:v>0</x:v>
      </x:c>
      <x:c r="M119" s="342" t="n">
        <x:f>COUNTIF($K$19:$K$118,"T")</x:f>
        <x:v>0</x:v>
      </x:c>
      <x:c r="N119" s="342" t="n">
        <x:f>COUNTIF($K$19:$K$118,"I")</x:f>
        <x:v>0</x:v>
      </x:c>
      <x:c r="O119" s="342" t="n">
        <x:f>COUNTIF($K$19:$K$118,"E")</x:f>
        <x:v>0</x:v>
      </x:c>
      <x:c r="P119" s="342" t="n">
        <x:f>COUNTIF($K$19:$K$118,"A")</x:f>
        <x:v>0</x:v>
      </x:c>
      <x:c r="Q119" s="343" t="str">
        <x:v>FIN TEÓRICO (si está validado)</x:v>
      </x:c>
      <x:c r="R119" s="343"/>
      <x:c r="S119" s="343"/>
      <x:c r="T119" s="343"/>
      <x:c r="U119" s="344"/>
      <x:c r="V119" s="341" t="str">
        <x:f>IF(COUNTIF($X$19:$X$118,"OK")=0,"",IF(COUNTIF($X$19:$X$118,"FALTA*")+COUNTIF($X$19:$X$118,"REVISAR*")+COUNTIF($X$19:$X$118,"ID REPETIDO")&gt;0,"REVISAR",MAX($V$19:$V$118)))</x:f>
      </x:c>
      <x:c r="W119" s="345" t="str">
        <x:v>MÉTODO PROPUESTO</x:v>
      </x:c>
      <x:c r="X119" s="346"/>
    </x:row>
    <x:row r="120" ht="21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</x:row>
    <x:row r="121" ht="21" customHeight="1">
      <x:c r="A121" s="298" t="str">
        <x:v>OBSERVACIONES DEL ESTUDIO · AJUSTES DEL MÉTODO</x:v>
      </x:c>
      <x:c r="B121" s="299"/>
      <x:c r="C121" s="299"/>
      <x:c r="D121" s="299"/>
      <x:c r="E121" s="299"/>
      <x:c r="F121" s="299"/>
      <x:c r="G121" s="299"/>
      <x:c r="H121" s="299"/>
      <x:c r="I121" s="299"/>
      <x:c r="J121" s="299"/>
      <x:c r="K121" s="299"/>
      <x:c r="L121" s="299"/>
      <x:c r="M121" s="299"/>
      <x:c r="N121" s="299"/>
      <x:c r="O121" s="299"/>
      <x:c r="P121" s="299"/>
      <x:c r="Q121" s="299"/>
      <x:c r="R121" s="299"/>
      <x:c r="S121" s="299"/>
      <x:c r="T121" s="299"/>
      <x:c r="U121" s="299"/>
      <x:c r="V121" s="299"/>
      <x:c r="W121" s="299"/>
      <x:c r="X121" s="300"/>
    </x:row>
    <x:row r="122" ht="21" customHeight="1">
      <x:c r="A122" s="301" t="str"/>
      <x:c r="B122" s="203"/>
      <x:c r="C122" s="203"/>
      <x:c r="D122" s="203"/>
      <x:c r="E122" s="203"/>
      <x:c r="F122" s="203"/>
      <x:c r="G122" s="203"/>
      <x:c r="H122" s="203"/>
      <x:c r="I122" s="203"/>
      <x:c r="J122" s="203"/>
      <x:c r="K122" s="203"/>
      <x:c r="L122" s="203"/>
      <x:c r="M122" s="203"/>
      <x:c r="N122" s="203"/>
      <x:c r="O122" s="203"/>
      <x:c r="P122" s="203"/>
      <x:c r="Q122" s="203"/>
      <x:c r="R122" s="203"/>
      <x:c r="S122" s="203"/>
      <x:c r="T122" s="203"/>
      <x:c r="U122" s="203"/>
      <x:c r="V122" s="203"/>
      <x:c r="W122" s="203"/>
      <x:c r="X122" s="302"/>
    </x:row>
    <x:row r="123" ht="21" customHeight="1">
      <x:c r="A123" s="301"/>
      <x:c r="B123" s="203"/>
      <x:c r="C123" s="203"/>
      <x:c r="D123" s="203"/>
      <x:c r="E123" s="203"/>
      <x:c r="F123" s="203"/>
      <x:c r="G123" s="203"/>
      <x:c r="H123" s="203"/>
      <x:c r="I123" s="203"/>
      <x:c r="J123" s="203"/>
      <x:c r="K123" s="203"/>
      <x:c r="L123" s="203"/>
      <x:c r="M123" s="203"/>
      <x:c r="N123" s="203"/>
      <x:c r="O123" s="203"/>
      <x:c r="P123" s="203"/>
      <x:c r="Q123" s="203"/>
      <x:c r="R123" s="203"/>
      <x:c r="S123" s="203"/>
      <x:c r="T123" s="203"/>
      <x:c r="U123" s="203"/>
      <x:c r="V123" s="203"/>
      <x:c r="W123" s="203"/>
      <x:c r="X123" s="302"/>
    </x:row>
    <x:row r="124" ht="21" customHeight="1">
      <x:c r="A124" s="301"/>
      <x:c r="B124" s="203"/>
      <x:c r="C124" s="203"/>
      <x:c r="D124" s="203"/>
      <x:c r="E124" s="203"/>
      <x:c r="F124" s="203"/>
      <x:c r="G124" s="203"/>
      <x:c r="H124" s="203"/>
      <x:c r="I124" s="203"/>
      <x:c r="J124" s="203"/>
      <x:c r="K124" s="203"/>
      <x:c r="L124" s="203"/>
      <x:c r="M124" s="203"/>
      <x:c r="N124" s="203"/>
      <x:c r="O124" s="203"/>
      <x:c r="P124" s="203"/>
      <x:c r="Q124" s="203"/>
      <x:c r="R124" s="203"/>
      <x:c r="S124" s="203"/>
      <x:c r="T124" s="203"/>
      <x:c r="U124" s="203"/>
      <x:c r="V124" s="203"/>
      <x:c r="W124" s="203"/>
      <x:c r="X124" s="302"/>
    </x:row>
    <x:row r="125" ht="21" customHeight="1">
      <x:c r="A125" s="303"/>
      <x:c r="B125" s="304"/>
      <x:c r="C125" s="304"/>
      <x:c r="D125" s="304"/>
      <x:c r="E125" s="304"/>
      <x:c r="F125" s="304"/>
      <x:c r="G125" s="304"/>
      <x:c r="H125" s="304"/>
      <x:c r="I125" s="304"/>
      <x:c r="J125" s="304"/>
      <x:c r="K125" s="304"/>
      <x:c r="L125" s="304"/>
      <x:c r="M125" s="304"/>
      <x:c r="N125" s="304"/>
      <x:c r="O125" s="304"/>
      <x:c r="P125" s="304"/>
      <x:c r="Q125" s="304"/>
      <x:c r="R125" s="304"/>
      <x:c r="S125" s="304"/>
      <x:c r="T125" s="304"/>
      <x:c r="U125" s="304"/>
      <x:c r="V125" s="304"/>
      <x:c r="W125" s="304"/>
      <x:c r="X125" s="305"/>
    </x:row>
    <x:row r="126" ht="21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</x:row>
    <x:row r="127" ht="21" customHeight="1">
      <x:c r="A127" s="207" t="str">
        <x:v>O = operación   |   T = transporte   |   I = inspección   |   E = espera   |   A = almacenamiento.  El almacenamiento sin duración puede dejarse en blanco: registra el ingreso, no la permanencia.</x:v>
      </x:c>
      <x:c r="B127" s="207"/>
      <x:c r="C127" s="207"/>
      <x:c r="D127" s="207"/>
      <x:c r="E127" s="207"/>
      <x:c r="F127" s="207"/>
      <x:c r="G127" s="207"/>
      <x:c r="H127" s="207"/>
      <x:c r="I127" s="207"/>
      <x:c r="J127" s="207"/>
      <x:c r="K127" s="207"/>
      <x:c r="L127" s="207"/>
      <x:c r="M127" s="207"/>
      <x:c r="N127" s="207"/>
      <x:c r="O127" s="207"/>
      <x:c r="P127" s="207"/>
      <x:c r="Q127" s="207"/>
      <x:c r="R127" s="207"/>
      <x:c r="S127" s="207"/>
      <x:c r="T127" s="207"/>
      <x:c r="U127" s="207"/>
      <x:c r="V127" s="207"/>
      <x:c r="W127" s="207"/>
      <x:c r="X127" s="207"/>
    </x:row>
  </x:sheetData>
  <x:mergeCells>
    <x:mergeCell ref="A1:X2"/>
    <x:mergeCell ref="A3:X3"/>
    <x:mergeCell ref="A4:C4"/>
    <x:mergeCell ref="D4:F4"/>
    <x:mergeCell ref="G4:I4"/>
    <x:mergeCell ref="J4:K4"/>
    <x:mergeCell ref="L4:Q4"/>
    <x:mergeCell ref="R4:X4"/>
    <x:mergeCell ref="A5:K5"/>
    <x:mergeCell ref="L5:X5"/>
    <x:mergeCell ref="A6:C6"/>
    <x:mergeCell ref="D6:K6"/>
    <x:mergeCell ref="A7:C7"/>
    <x:mergeCell ref="D7:K7"/>
    <x:mergeCell ref="A8:C8"/>
    <x:mergeCell ref="D8:K8"/>
    <x:mergeCell ref="A9:C9"/>
    <x:mergeCell ref="D9:K9"/>
    <x:mergeCell ref="A10:C10"/>
    <x:mergeCell ref="D10:K10"/>
    <x:mergeCell ref="A11:C11"/>
    <x:mergeCell ref="D11:K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M6:R6"/>
    <x:mergeCell ref="M7:R7"/>
    <x:mergeCell ref="M8:R8"/>
    <x:mergeCell ref="M9:R9"/>
    <x:mergeCell ref="M10:R10"/>
    <x:mergeCell ref="M11:R11"/>
    <x:mergeCell ref="L12:R12"/>
    <x:mergeCell ref="L13:R13"/>
    <x:mergeCell ref="L14:R14"/>
    <x:mergeCell ref="L15:R15"/>
    <x:mergeCell ref="A16:X16"/>
    <x:mergeCell ref="A17:A18"/>
    <x:mergeCell ref="B17:B18"/>
    <x:mergeCell ref="C17:C18"/>
    <x:mergeCell ref="D17:D18"/>
    <x:mergeCell ref="E17:E18"/>
    <x:mergeCell ref="F17:F18"/>
    <x:mergeCell ref="G17:G18"/>
    <x:mergeCell ref="H17:H18"/>
    <x:mergeCell ref="I17:I18"/>
    <x:mergeCell ref="J17:J18"/>
    <x:mergeCell ref="K17:K18"/>
    <x:mergeCell ref="L17:P17"/>
    <x:mergeCell ref="Q17:T17"/>
    <x:mergeCell ref="U17:V17"/>
    <x:mergeCell ref="W17:W18"/>
    <x:mergeCell ref="X17:X18"/>
    <x:mergeCell ref="A119:H119"/>
    <x:mergeCell ref="Q119:U119"/>
    <x:mergeCell ref="W119:X119"/>
    <x:mergeCell ref="A121:X121"/>
    <x:mergeCell ref="A122:X125"/>
    <x:mergeCell ref="A127:X127"/>
  </x:mergeCells>
  <x:conditionalFormatting sqref="X19:X118">
    <x:cfRule type="expression" dxfId="2" priority="1">
      <x:formula>AND($X19&lt;&gt;"",$X19&lt;&gt;"OK")</x:formula>
    </x:cfRule>
  </x:conditionalFormatting>
  <x:conditionalFormatting sqref="C19:C118">
    <x:cfRule type="expression" dxfId="3" priority="2">
      <x:formula>AND($C19&lt;&gt;"",$C19&lt;&gt;$C18)</x:formula>
    </x:cfRule>
  </x:conditionalFormatting>
  <x:dataValidations count="2">
    <x:dataValidation type="list" sqref="D15">
      <x:formula1>"Material,Operario,Equipo"</x:formula1>
    </x:dataValidation>
    <x:dataValidation type="list" sqref="K19:K118">
      <x:formula1>"O,T,I,E,A"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0" topLeftCell="A21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</x:cols>
  <x:sheetData>
    <x:row r="1" ht="26" customHeight="1">
      <x:c r="A1" s="210" t="str">
        <x:v>ANÁLISIS COMPARATIVO DEL CURSOGRAMA ANALÍTICO</x:v>
      </x:c>
      <x:c r="B1" s="211"/>
      <x:c r="C1" s="211"/>
      <x:c r="D1" s="211"/>
      <x:c r="E1" s="211"/>
      <x:c r="F1" s="211"/>
      <x:c r="G1" s="211"/>
      <x:c r="H1" s="211"/>
      <x:c r="I1" s="211"/>
      <x:c r="J1" s="211"/>
      <x:c r="K1" s="212"/>
    </x:row>
    <x:row r="2" ht="26" customHeight="1">
      <x:c r="A2" s="213"/>
      <x:c r="B2" s="214"/>
      <x:c r="C2" s="214"/>
      <x:c r="D2" s="214"/>
      <x:c r="E2" s="214"/>
      <x:c r="F2" s="214"/>
      <x:c r="G2" s="214"/>
      <x:c r="H2" s="214"/>
      <x:c r="I2" s="214"/>
      <x:c r="J2" s="214"/>
      <x:c r="K2" s="215"/>
    </x:row>
    <x:row r="3" ht="23" customHeight="1">
      <x:c r="A3" s="382" t="str">
        <x:v>Los resultados provienen de las hojas ACTUAL y PROPUESTO. Las celdas color crema son las únicas que debe diligenciar aquí.</x:v>
      </x:c>
      <x:c r="B3" s="382"/>
      <x:c r="C3" s="382"/>
      <x:c r="D3" s="382"/>
      <x:c r="E3" s="382"/>
      <x:c r="F3" s="382"/>
      <x:c r="G3" s="382"/>
      <x:c r="H3" s="382"/>
      <x:c r="I3" s="382"/>
      <x:c r="J3" s="382"/>
      <x:c r="K3" s="382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3" customHeight="1">
      <x:c r="A5" s="222" t="str">
        <x:v>COMPARACIÓN DE MÉTODOS</x:v>
      </x:c>
      <x:c r="B5" s="223"/>
      <x:c r="C5" s="223"/>
      <x:c r="D5" s="223"/>
      <x:c r="E5" s="223"/>
      <x:c r="F5" s="223"/>
      <x:c r="G5" s="223"/>
      <x:c r="H5" s="223"/>
      <x:c r="I5" s="223"/>
      <x:c r="J5" s="223"/>
      <x:c r="K5" s="224"/>
    </x:row>
    <x:row r="6" ht="23" customHeight="1">
      <x:c r="A6" s="446" t="str">
        <x:v>INDICADOR</x:v>
      </x:c>
      <x:c r="B6" s="386"/>
      <x:c r="C6" s="386" t="str">
        <x:v>ACTUAL</x:v>
      </x:c>
      <x:c r="D6" s="386" t="str">
        <x:v>PROPUESTO</x:v>
      </x:c>
      <x:c r="E6" s="386" t="str">
        <x:v>ECONOMÍA</x:v>
      </x:c>
      <x:c r="F6" s="386" t="str">
        <x:v>AHORRO %</x:v>
      </x:c>
      <x:c r="G6" s="386" t="str">
        <x:v>INTERPRETACIÓN</x:v>
      </x:c>
      <x:c r="H6" s="386"/>
      <x:c r="I6" s="386"/>
      <x:c r="J6" s="386"/>
      <x:c r="K6" s="447"/>
    </x:row>
    <x:row r="7" ht="23" customHeight="1">
      <x:c r="A7" s="448" t="str">
        <x:v>Operaciones</x:v>
      </x:c>
      <x:c r="B7" s="389"/>
      <x:c r="C7" s="151" t="n">
        <x:f>ACTUAL!S7</x:f>
        <x:v>0</x:v>
      </x:c>
      <x:c r="D7" s="151" t="n">
        <x:f>ACTUAL!T7</x:f>
        <x:v>0</x:v>
      </x:c>
      <x:c r="E7" s="402" t="n">
        <x:f>ACTUAL!U7</x:f>
        <x:v>0</x:v>
      </x:c>
      <x:c r="F7" s="400" t="str">
        <x:f>IF(OR(NOT(ISNUMBER(C7)),NOT(ISNUMBER(D7)),C7=0),"",E7/C7)</x:f>
      </x:c>
      <x:c r="G7" s="394" t="str">
        <x:v>Controlar método</x:v>
      </x:c>
      <x:c r="H7" s="394"/>
      <x:c r="I7" s="394"/>
      <x:c r="J7" s="394"/>
      <x:c r="K7" s="449"/>
    </x:row>
    <x:row r="8" ht="23" customHeight="1">
      <x:c r="A8" s="448" t="str">
        <x:v>Transportes</x:v>
      </x:c>
      <x:c r="B8" s="389"/>
      <x:c r="C8" s="151" t="n">
        <x:f>ACTUAL!S8</x:f>
        <x:v>0</x:v>
      </x:c>
      <x:c r="D8" s="151" t="n">
        <x:f>ACTUAL!T8</x:f>
        <x:v>0</x:v>
      </x:c>
      <x:c r="E8" s="402" t="n">
        <x:f>ACTUAL!U8</x:f>
        <x:v>0</x:v>
      </x:c>
      <x:c r="F8" s="400" t="str">
        <x:f>IF(OR(NOT(ISNUMBER(C8)),NOT(ISNUMBER(D8)),C8=0),"",E8/C8)</x:f>
      </x:c>
      <x:c r="G8" s="394" t="str">
        <x:v>Reducir recorridos</x:v>
      </x:c>
      <x:c r="H8" s="394"/>
      <x:c r="I8" s="394"/>
      <x:c r="J8" s="394"/>
      <x:c r="K8" s="449"/>
    </x:row>
    <x:row r="9" ht="23" customHeight="1">
      <x:c r="A9" s="448" t="str">
        <x:v>Inspecciones</x:v>
      </x:c>
      <x:c r="B9" s="389"/>
      <x:c r="C9" s="151" t="n">
        <x:f>ACTUAL!S9</x:f>
        <x:v>0</x:v>
      </x:c>
      <x:c r="D9" s="151" t="n">
        <x:f>ACTUAL!T9</x:f>
        <x:v>0</x:v>
      </x:c>
      <x:c r="E9" s="402" t="n">
        <x:f>ACTUAL!U9</x:f>
        <x:v>0</x:v>
      </x:c>
      <x:c r="F9" s="400" t="str">
        <x:f>IF(OR(NOT(ISNUMBER(C9)),NOT(ISNUMBER(D9)),C9=0),"",E9/C9)</x:f>
      </x:c>
      <x:c r="G9" s="394" t="str">
        <x:v>Justificar controles</x:v>
      </x:c>
      <x:c r="H9" s="394"/>
      <x:c r="I9" s="394"/>
      <x:c r="J9" s="394"/>
      <x:c r="K9" s="449"/>
    </x:row>
    <x:row r="10" ht="23" customHeight="1">
      <x:c r="A10" s="448" t="str">
        <x:v>Esperas</x:v>
      </x:c>
      <x:c r="B10" s="389"/>
      <x:c r="C10" s="151" t="n">
        <x:f>ACTUAL!S10</x:f>
        <x:v>0</x:v>
      </x:c>
      <x:c r="D10" s="151" t="n">
        <x:f>ACTUAL!T10</x:f>
        <x:v>0</x:v>
      </x:c>
      <x:c r="E10" s="402" t="n">
        <x:f>ACTUAL!U10</x:f>
        <x:v>0</x:v>
      </x:c>
      <x:c r="F10" s="400" t="str">
        <x:f>IF(OR(NOT(ISNUMBER(C10)),NOT(ISNUMBER(D10)),C10=0),"",E10/C10)</x:f>
      </x:c>
      <x:c r="G10" s="394" t="str">
        <x:v>Examinar causas</x:v>
      </x:c>
      <x:c r="H10" s="394"/>
      <x:c r="I10" s="394"/>
      <x:c r="J10" s="394"/>
      <x:c r="K10" s="449"/>
    </x:row>
    <x:row r="11" ht="23" customHeight="1">
      <x:c r="A11" s="448" t="str">
        <x:v>Almacenamientos</x:v>
      </x:c>
      <x:c r="B11" s="389"/>
      <x:c r="C11" s="151" t="n">
        <x:f>ACTUAL!S11</x:f>
        <x:v>0</x:v>
      </x:c>
      <x:c r="D11" s="151" t="n">
        <x:f>ACTUAL!T11</x:f>
        <x:v>0</x:v>
      </x:c>
      <x:c r="E11" s="402" t="n">
        <x:f>ACTUAL!U11</x:f>
        <x:v>0</x:v>
      </x:c>
      <x:c r="F11" s="400" t="str">
        <x:f>IF(OR(NOT(ISNUMBER(C11)),NOT(ISNUMBER(D11)),C11=0),"",E11/C11)</x:f>
      </x:c>
      <x:c r="G11" s="394" t="str">
        <x:v>Registrar existencias</x:v>
      </x:c>
      <x:c r="H11" s="394"/>
      <x:c r="I11" s="394"/>
      <x:c r="J11" s="394"/>
      <x:c r="K11" s="449"/>
    </x:row>
    <x:row r="12" ht="23" customHeight="1">
      <x:c r="A12" s="450" t="str">
        <x:v>Total de actividades</x:v>
      </x:c>
      <x:c r="B12" s="396"/>
      <x:c r="C12" s="151" t="n">
        <x:f>ACTUAL!S12</x:f>
        <x:v>0</x:v>
      </x:c>
      <x:c r="D12" s="151" t="n">
        <x:f>ACTUAL!T12</x:f>
        <x:v>0</x:v>
      </x:c>
      <x:c r="E12" s="402" t="n">
        <x:f>ACTUAL!U12</x:f>
        <x:v>0</x:v>
      </x:c>
      <x:c r="F12" s="400" t="str">
        <x:f>IF(OR(NOT(ISNUMBER(C12)),NOT(ISNUMBER(D12)),C12=0),"",E12/C12)</x:f>
      </x:c>
      <x:c r="G12" s="394" t="str">
        <x:v>Eventos registrados</x:v>
      </x:c>
      <x:c r="H12" s="394"/>
      <x:c r="I12" s="394"/>
      <x:c r="J12" s="394"/>
      <x:c r="K12" s="449"/>
    </x:row>
    <x:row r="13" ht="23" customHeight="1">
      <x:c r="A13" s="450" t="str">
        <x:v>Distancia (m)</x:v>
      </x:c>
      <x:c r="B13" s="396"/>
      <x:c r="C13" s="151" t="n">
        <x:f>ACTUAL!S13</x:f>
        <x:v>0</x:v>
      </x:c>
      <x:c r="D13" s="151" t="n">
        <x:f>ACTUAL!T13</x:f>
        <x:v>0</x:v>
      </x:c>
      <x:c r="E13" s="402" t="n">
        <x:f>ACTUAL!U13</x:f>
        <x:v>0</x:v>
      </x:c>
      <x:c r="F13" s="400" t="str">
        <x:f>IF(OR(NOT(ISNUMBER(C13)),NOT(ISNUMBER(D13)),C13=0),"",E13/C13)</x:f>
      </x:c>
      <x:c r="G13" s="394" t="str">
        <x:v>Sólo transportes medidos</x:v>
      </x:c>
      <x:c r="H13" s="394"/>
      <x:c r="I13" s="394"/>
      <x:c r="J13" s="394"/>
      <x:c r="K13" s="449"/>
    </x:row>
    <x:row r="14" ht="23" customHeight="1">
      <x:c r="A14" s="450" t="str">
        <x:v>Suma de tiempos (min)</x:v>
      </x:c>
      <x:c r="B14" s="396"/>
      <x:c r="C14" s="151" t="n">
        <x:f>ACTUAL!S14</x:f>
        <x:v>0</x:v>
      </x:c>
      <x:c r="D14" s="151" t="n">
        <x:f>ACTUAL!T14</x:f>
        <x:v>0</x:v>
      </x:c>
      <x:c r="E14" s="402" t="n">
        <x:f>ACTUAL!U14</x:f>
        <x:v>0</x:v>
      </x:c>
      <x:c r="F14" s="400" t="str">
        <x:f>IF(OR(NOT(ISNUMBER(C14)),NOT(ISNUMBER(D14)),C14=0),"",E14/C14)</x:f>
      </x:c>
      <x:c r="G14" s="394" t="str">
        <x:v>Incluye ramas paralelas</x:v>
      </x:c>
      <x:c r="H14" s="394"/>
      <x:c r="I14" s="394"/>
      <x:c r="J14" s="394"/>
      <x:c r="K14" s="449"/>
    </x:row>
    <x:row r="15" ht="23" customHeight="1">
      <x:c r="A15" s="451" t="str">
        <x:v>Duración teórica (min)</x:v>
      </x:c>
      <x:c r="B15" s="452"/>
      <x:c r="C15" s="453" t="str">
        <x:f>IF(ACTUAL!S15="","",ACTUAL!S15)</x:f>
      </x:c>
      <x:c r="D15" s="453" t="str">
        <x:f>IF(ACTUAL!T15="","",ACTUAL!T15)</x:f>
      </x:c>
      <x:c r="E15" s="454" t="str">
        <x:f>IF(OR(C15="",D15="",NOT(ISNUMBER(C15)),NOT(ISNUMBER(D15))),"",C15-D15)</x:f>
      </x:c>
      <x:c r="F15" s="455" t="str">
        <x:f>IF(OR(E15="",C15=0),"",E15/C15)</x:f>
      </x:c>
      <x:c r="G15" s="456" t="str">
        <x:v>Depende de predecesoras</x:v>
      </x:c>
      <x:c r="H15" s="456"/>
      <x:c r="I15" s="456"/>
      <x:c r="J15" s="456"/>
      <x:c r="K15" s="457"/>
    </x:row>
    <x:row r="16" ht="23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 ht="32" customHeight="1">
      <x:c r="A17" s="405" t="str">
        <x:v>Diferencia: SUMA DE TIEMPOS = suma de todas las filas; DURACIÓN TEÓRICA = fin más tardío según las precedencias. No representa tiempos estándar ni considera conflictos por recursos compartidos.</x:v>
      </x:c>
      <x:c r="B17" s="405"/>
      <x:c r="C17" s="405"/>
      <x:c r="D17" s="405"/>
      <x:c r="E17" s="405"/>
      <x:c r="F17" s="405"/>
      <x:c r="G17" s="405"/>
      <x:c r="H17" s="405"/>
      <x:c r="I17" s="405"/>
      <x:c r="J17" s="405"/>
      <x:c r="K17" s="405"/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 ht="23" customHeight="1">
      <x:c r="A19" s="222" t="str">
        <x:v>RESUMEN POR RAMA · Escribe los nombres de las ramas en las celdas amarillas</x:v>
      </x:c>
      <x:c r="B19" s="223"/>
      <x:c r="C19" s="223"/>
      <x:c r="D19" s="223"/>
      <x:c r="E19" s="223"/>
      <x:c r="F19" s="223"/>
      <x:c r="G19" s="223"/>
      <x:c r="H19" s="223"/>
      <x:c r="I19" s="223"/>
      <x:c r="J19" s="223"/>
      <x:c r="K19" s="224"/>
    </x:row>
    <x:row r="20" ht="28" customHeight="1">
      <x:c r="A20" s="470" t="str">
        <x:v>N.º</x:v>
      </x:c>
      <x:c r="B20" s="414" t="str">
        <x:v>RAMA</x:v>
      </x:c>
      <x:c r="C20" s="414"/>
      <x:c r="D20" s="410" t="str">
        <x:v>ACTIV. ACT.</x:v>
      </x:c>
      <x:c r="E20" s="410" t="str">
        <x:v>MIN. ACT.</x:v>
      </x:c>
      <x:c r="F20" s="410" t="str">
        <x:v>ACTIV. PROP.</x:v>
      </x:c>
      <x:c r="G20" s="410" t="str">
        <x:v>MIN. PROP.</x:v>
      </x:c>
      <x:c r="H20" s="410" t="str">
        <x:v>DIF. MIN.</x:v>
      </x:c>
      <x:c r="I20" s="414" t="str">
        <x:v>COMENTARIO</x:v>
      </x:c>
      <x:c r="J20" s="414"/>
      <x:c r="K20" s="471"/>
    </x:row>
    <x:row r="21" ht="23" customHeight="1">
      <x:c r="A21" s="472" t="n">
        <x:v>1</x:v>
      </x:c>
      <x:c r="B21" s="416" t="str"/>
      <x:c r="C21" s="416"/>
      <x:c r="D21" s="151" t="str">
        <x:f>IF($B21="","",COUNTIF(ACTUAL!$C$19:$C$118,$B21))</x:f>
      </x:c>
      <x:c r="E21" s="151" t="str">
        <x:f>IF($B21="","",SUMIF(ACTUAL!$C$19:$C$118,$B21,ACTUAL!$J$19:$J$118))</x:f>
      </x:c>
      <x:c r="F21" s="151" t="str">
        <x:f>IF($B21="","",COUNTIF(PROPUESTO!$C$19:$C$118,$B21))</x:f>
      </x:c>
      <x:c r="G21" s="151" t="str">
        <x:f>IF($B21="","",SUMIF(PROPUESTO!$C$19:$C$118,$B21,PROPUESTO!$J$19:$J$118))</x:f>
      </x:c>
      <x:c r="H21" s="151" t="str">
        <x:f>IF($B21="","",E21-G21)</x:f>
      </x:c>
      <x:c r="I21" s="40" t="str"/>
      <x:c r="J21" s="40"/>
      <x:c r="K21" s="226"/>
    </x:row>
    <x:row r="22" ht="23" customHeight="1">
      <x:c r="A22" s="472" t="n">
        <x:v>2</x:v>
      </x:c>
      <x:c r="B22" s="416" t="str"/>
      <x:c r="C22" s="416"/>
      <x:c r="D22" s="151" t="str">
        <x:f>IF($B22="","",COUNTIF(ACTUAL!$C$19:$C$118,$B22))</x:f>
      </x:c>
      <x:c r="E22" s="151" t="str">
        <x:f>IF($B22="","",SUMIF(ACTUAL!$C$19:$C$118,$B22,ACTUAL!$J$19:$J$118))</x:f>
      </x:c>
      <x:c r="F22" s="151" t="str">
        <x:f>IF($B22="","",COUNTIF(PROPUESTO!$C$19:$C$118,$B22))</x:f>
      </x:c>
      <x:c r="G22" s="151" t="str">
        <x:f>IF($B22="","",SUMIF(PROPUESTO!$C$19:$C$118,$B22,PROPUESTO!$J$19:$J$118))</x:f>
      </x:c>
      <x:c r="H22" s="151" t="str">
        <x:f>IF($B22="","",E22-G22)</x:f>
      </x:c>
      <x:c r="I22" s="40" t="str"/>
      <x:c r="J22" s="40"/>
      <x:c r="K22" s="226"/>
    </x:row>
    <x:row r="23" ht="23" customHeight="1">
      <x:c r="A23" s="472" t="n">
        <x:v>3</x:v>
      </x:c>
      <x:c r="B23" s="416" t="str"/>
      <x:c r="C23" s="416"/>
      <x:c r="D23" s="151" t="str">
        <x:f>IF($B23="","",COUNTIF(ACTUAL!$C$19:$C$118,$B23))</x:f>
      </x:c>
      <x:c r="E23" s="151" t="str">
        <x:f>IF($B23="","",SUMIF(ACTUAL!$C$19:$C$118,$B23,ACTUAL!$J$19:$J$118))</x:f>
      </x:c>
      <x:c r="F23" s="151" t="str">
        <x:f>IF($B23="","",COUNTIF(PROPUESTO!$C$19:$C$118,$B23))</x:f>
      </x:c>
      <x:c r="G23" s="151" t="str">
        <x:f>IF($B23="","",SUMIF(PROPUESTO!$C$19:$C$118,$B23,PROPUESTO!$J$19:$J$118))</x:f>
      </x:c>
      <x:c r="H23" s="151" t="str">
        <x:f>IF($B23="","",E23-G23)</x:f>
      </x:c>
      <x:c r="I23" s="40" t="str"/>
      <x:c r="J23" s="40"/>
      <x:c r="K23" s="226"/>
    </x:row>
    <x:row r="24" ht="23" customHeight="1">
      <x:c r="A24" s="472" t="n">
        <x:v>4</x:v>
      </x:c>
      <x:c r="B24" s="416" t="str"/>
      <x:c r="C24" s="416"/>
      <x:c r="D24" s="151" t="str">
        <x:f>IF($B24="","",COUNTIF(ACTUAL!$C$19:$C$118,$B24))</x:f>
      </x:c>
      <x:c r="E24" s="151" t="str">
        <x:f>IF($B24="","",SUMIF(ACTUAL!$C$19:$C$118,$B24,ACTUAL!$J$19:$J$118))</x:f>
      </x:c>
      <x:c r="F24" s="151" t="str">
        <x:f>IF($B24="","",COUNTIF(PROPUESTO!$C$19:$C$118,$B24))</x:f>
      </x:c>
      <x:c r="G24" s="151" t="str">
        <x:f>IF($B24="","",SUMIF(PROPUESTO!$C$19:$C$118,$B24,PROPUESTO!$J$19:$J$118))</x:f>
      </x:c>
      <x:c r="H24" s="151" t="str">
        <x:f>IF($B24="","",E24-G24)</x:f>
      </x:c>
      <x:c r="I24" s="40" t="str"/>
      <x:c r="J24" s="40"/>
      <x:c r="K24" s="226"/>
    </x:row>
    <x:row r="25" ht="23" customHeight="1">
      <x:c r="A25" s="472" t="n">
        <x:v>5</x:v>
      </x:c>
      <x:c r="B25" s="416" t="str"/>
      <x:c r="C25" s="416"/>
      <x:c r="D25" s="151" t="str">
        <x:f>IF($B25="","",COUNTIF(ACTUAL!$C$19:$C$118,$B25))</x:f>
      </x:c>
      <x:c r="E25" s="151" t="str">
        <x:f>IF($B25="","",SUMIF(ACTUAL!$C$19:$C$118,$B25,ACTUAL!$J$19:$J$118))</x:f>
      </x:c>
      <x:c r="F25" s="151" t="str">
        <x:f>IF($B25="","",COUNTIF(PROPUESTO!$C$19:$C$118,$B25))</x:f>
      </x:c>
      <x:c r="G25" s="151" t="str">
        <x:f>IF($B25="","",SUMIF(PROPUESTO!$C$19:$C$118,$B25,PROPUESTO!$J$19:$J$118))</x:f>
      </x:c>
      <x:c r="H25" s="151" t="str">
        <x:f>IF($B25="","",E25-G25)</x:f>
      </x:c>
      <x:c r="I25" s="40" t="str"/>
      <x:c r="J25" s="40"/>
      <x:c r="K25" s="226"/>
    </x:row>
    <x:row r="26" ht="23" customHeight="1">
      <x:c r="A26" s="472" t="n">
        <x:v>6</x:v>
      </x:c>
      <x:c r="B26" s="416" t="str"/>
      <x:c r="C26" s="416"/>
      <x:c r="D26" s="151" t="str">
        <x:f>IF($B26="","",COUNTIF(ACTUAL!$C$19:$C$118,$B26))</x:f>
      </x:c>
      <x:c r="E26" s="151" t="str">
        <x:f>IF($B26="","",SUMIF(ACTUAL!$C$19:$C$118,$B26,ACTUAL!$J$19:$J$118))</x:f>
      </x:c>
      <x:c r="F26" s="151" t="str">
        <x:f>IF($B26="","",COUNTIF(PROPUESTO!$C$19:$C$118,$B26))</x:f>
      </x:c>
      <x:c r="G26" s="151" t="str">
        <x:f>IF($B26="","",SUMIF(PROPUESTO!$C$19:$C$118,$B26,PROPUESTO!$J$19:$J$118))</x:f>
      </x:c>
      <x:c r="H26" s="151" t="str">
        <x:f>IF($B26="","",E26-G26)</x:f>
      </x:c>
      <x:c r="I26" s="40" t="str"/>
      <x:c r="J26" s="40"/>
      <x:c r="K26" s="226"/>
    </x:row>
    <x:row r="27" ht="23" customHeight="1">
      <x:c r="A27" s="472" t="n">
        <x:v>7</x:v>
      </x:c>
      <x:c r="B27" s="416" t="str"/>
      <x:c r="C27" s="416"/>
      <x:c r="D27" s="151" t="str">
        <x:f>IF($B27="","",COUNTIF(ACTUAL!$C$19:$C$118,$B27))</x:f>
      </x:c>
      <x:c r="E27" s="151" t="str">
        <x:f>IF($B27="","",SUMIF(ACTUAL!$C$19:$C$118,$B27,ACTUAL!$J$19:$J$118))</x:f>
      </x:c>
      <x:c r="F27" s="151" t="str">
        <x:f>IF($B27="","",COUNTIF(PROPUESTO!$C$19:$C$118,$B27))</x:f>
      </x:c>
      <x:c r="G27" s="151" t="str">
        <x:f>IF($B27="","",SUMIF(PROPUESTO!$C$19:$C$118,$B27,PROPUESTO!$J$19:$J$118))</x:f>
      </x:c>
      <x:c r="H27" s="151" t="str">
        <x:f>IF($B27="","",E27-G27)</x:f>
      </x:c>
      <x:c r="I27" s="40" t="str"/>
      <x:c r="J27" s="40"/>
      <x:c r="K27" s="226"/>
    </x:row>
    <x:row r="28" ht="23" customHeight="1">
      <x:c r="A28" s="472" t="n">
        <x:v>8</x:v>
      </x:c>
      <x:c r="B28" s="416" t="str"/>
      <x:c r="C28" s="416"/>
      <x:c r="D28" s="151" t="str">
        <x:f>IF($B28="","",COUNTIF(ACTUAL!$C$19:$C$118,$B28))</x:f>
      </x:c>
      <x:c r="E28" s="151" t="str">
        <x:f>IF($B28="","",SUMIF(ACTUAL!$C$19:$C$118,$B28,ACTUAL!$J$19:$J$118))</x:f>
      </x:c>
      <x:c r="F28" s="151" t="str">
        <x:f>IF($B28="","",COUNTIF(PROPUESTO!$C$19:$C$118,$B28))</x:f>
      </x:c>
      <x:c r="G28" s="151" t="str">
        <x:f>IF($B28="","",SUMIF(PROPUESTO!$C$19:$C$118,$B28,PROPUESTO!$J$19:$J$118))</x:f>
      </x:c>
      <x:c r="H28" s="151" t="str">
        <x:f>IF($B28="","",E28-G28)</x:f>
      </x:c>
      <x:c r="I28" s="40" t="str"/>
      <x:c r="J28" s="40"/>
      <x:c r="K28" s="226"/>
    </x:row>
    <x:row r="29" ht="23" customHeight="1">
      <x:c r="A29" s="472" t="n">
        <x:v>9</x:v>
      </x:c>
      <x:c r="B29" s="416" t="str"/>
      <x:c r="C29" s="416"/>
      <x:c r="D29" s="151" t="str">
        <x:f>IF($B29="","",COUNTIF(ACTUAL!$C$19:$C$118,$B29))</x:f>
      </x:c>
      <x:c r="E29" s="151" t="str">
        <x:f>IF($B29="","",SUMIF(ACTUAL!$C$19:$C$118,$B29,ACTUAL!$J$19:$J$118))</x:f>
      </x:c>
      <x:c r="F29" s="151" t="str">
        <x:f>IF($B29="","",COUNTIF(PROPUESTO!$C$19:$C$118,$B29))</x:f>
      </x:c>
      <x:c r="G29" s="151" t="str">
        <x:f>IF($B29="","",SUMIF(PROPUESTO!$C$19:$C$118,$B29,PROPUESTO!$J$19:$J$118))</x:f>
      </x:c>
      <x:c r="H29" s="151" t="str">
        <x:f>IF($B29="","",E29-G29)</x:f>
      </x:c>
      <x:c r="I29" s="40" t="str"/>
      <x:c r="J29" s="40"/>
      <x:c r="K29" s="226"/>
    </x:row>
    <x:row r="30" ht="23" customHeight="1">
      <x:c r="A30" s="472" t="n">
        <x:v>10</x:v>
      </x:c>
      <x:c r="B30" s="416" t="str"/>
      <x:c r="C30" s="416"/>
      <x:c r="D30" s="151" t="str">
        <x:f>IF($B30="","",COUNTIF(ACTUAL!$C$19:$C$118,$B30))</x:f>
      </x:c>
      <x:c r="E30" s="151" t="str">
        <x:f>IF($B30="","",SUMIF(ACTUAL!$C$19:$C$118,$B30,ACTUAL!$J$19:$J$118))</x:f>
      </x:c>
      <x:c r="F30" s="151" t="str">
        <x:f>IF($B30="","",COUNTIF(PROPUESTO!$C$19:$C$118,$B30))</x:f>
      </x:c>
      <x:c r="G30" s="151" t="str">
        <x:f>IF($B30="","",SUMIF(PROPUESTO!$C$19:$C$118,$B30,PROPUESTO!$J$19:$J$118))</x:f>
      </x:c>
      <x:c r="H30" s="151" t="str">
        <x:f>IF($B30="","",E30-G30)</x:f>
      </x:c>
      <x:c r="I30" s="40" t="str"/>
      <x:c r="J30" s="40"/>
      <x:c r="K30" s="226"/>
    </x:row>
    <x:row r="31" ht="23" customHeight="1">
      <x:c r="A31" s="472" t="n">
        <x:v>11</x:v>
      </x:c>
      <x:c r="B31" s="416" t="str"/>
      <x:c r="C31" s="416"/>
      <x:c r="D31" s="151" t="str">
        <x:f>IF($B31="","",COUNTIF(ACTUAL!$C$19:$C$118,$B31))</x:f>
      </x:c>
      <x:c r="E31" s="151" t="str">
        <x:f>IF($B31="","",SUMIF(ACTUAL!$C$19:$C$118,$B31,ACTUAL!$J$19:$J$118))</x:f>
      </x:c>
      <x:c r="F31" s="151" t="str">
        <x:f>IF($B31="","",COUNTIF(PROPUESTO!$C$19:$C$118,$B31))</x:f>
      </x:c>
      <x:c r="G31" s="151" t="str">
        <x:f>IF($B31="","",SUMIF(PROPUESTO!$C$19:$C$118,$B31,PROPUESTO!$J$19:$J$118))</x:f>
      </x:c>
      <x:c r="H31" s="151" t="str">
        <x:f>IF($B31="","",E31-G31)</x:f>
      </x:c>
      <x:c r="I31" s="40" t="str"/>
      <x:c r="J31" s="40"/>
      <x:c r="K31" s="226"/>
    </x:row>
    <x:row r="32" ht="23" customHeight="1">
      <x:c r="A32" s="473" t="n">
        <x:v>12</x:v>
      </x:c>
      <x:c r="B32" s="474" t="str"/>
      <x:c r="C32" s="474"/>
      <x:c r="D32" s="453" t="str">
        <x:f>IF($B32="","",COUNTIF(ACTUAL!$C$19:$C$118,$B32))</x:f>
      </x:c>
      <x:c r="E32" s="453" t="str">
        <x:f>IF($B32="","",SUMIF(ACTUAL!$C$19:$C$118,$B32,ACTUAL!$J$19:$J$118))</x:f>
      </x:c>
      <x:c r="F32" s="453" t="str">
        <x:f>IF($B32="","",COUNTIF(PROPUESTO!$C$19:$C$118,$B32))</x:f>
      </x:c>
      <x:c r="G32" s="453" t="str">
        <x:f>IF($B32="","",SUMIF(PROPUESTO!$C$19:$C$118,$B32,PROPUESTO!$J$19:$J$118))</x:f>
      </x:c>
      <x:c r="H32" s="453" t="str">
        <x:f>IF($B32="","",E32-G32)</x:f>
      </x:c>
      <x:c r="I32" s="229" t="str"/>
      <x:c r="J32" s="229"/>
      <x:c r="K32" s="230"/>
    </x:row>
    <x:row r="33" ht="23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 ht="23" customHeight="1">
      <x:c r="A34" s="222" t="str">
        <x:v>INSTRUCCIONES PARA PROCESOS CON VARIAS RAMAS</x:v>
      </x:c>
      <x:c r="B34" s="223"/>
      <x:c r="C34" s="223"/>
      <x:c r="D34" s="223"/>
      <x:c r="E34" s="223"/>
      <x:c r="F34" s="223"/>
      <x:c r="G34" s="223"/>
      <x:c r="H34" s="223"/>
      <x:c r="I34" s="223"/>
      <x:c r="J34" s="223"/>
      <x:c r="K34" s="224"/>
    </x:row>
    <x:row r="35" ht="37" customHeight="1">
      <x:c r="A35" s="480" t="str">
        <x:v>1</x:v>
      </x:c>
      <x:c r="B35" s="426" t="str">
        <x:v>En ACTUAL, describe cada actividad en una fila e identifica el ID, la rama y el componente. Usa IDs únicos: A1, A2, B1, B2, C1.</x:v>
      </x:c>
      <x:c r="C35" s="426"/>
      <x:c r="D35" s="426"/>
      <x:c r="E35" s="426"/>
      <x:c r="F35" s="426"/>
      <x:c r="G35" s="426"/>
      <x:c r="H35" s="426"/>
      <x:c r="I35" s="426"/>
      <x:c r="J35" s="426"/>
      <x:c r="K35" s="481"/>
    </x:row>
    <x:row r="36" ht="37" customHeight="1">
      <x:c r="A36" s="480" t="str">
        <x:v>2</x:v>
      </x:c>
      <x:c r="B36" s="432" t="str">
        <x:v>Escoge el tipo en la columna K (O, T, I, E o A). Los cinco símbolos se completan automáticamente, como en el formato original.</x:v>
      </x:c>
      <x:c r="C36" s="432"/>
      <x:c r="D36" s="432"/>
      <x:c r="E36" s="432"/>
      <x:c r="F36" s="432"/>
      <x:c r="G36" s="432"/>
      <x:c r="H36" s="432"/>
      <x:c r="I36" s="432"/>
      <x:c r="J36" s="432"/>
      <x:c r="K36" s="482"/>
    </x:row>
    <x:row r="37" ht="37" customHeight="1">
      <x:c r="A37" s="480" t="str">
        <x:v>3</x:v>
      </x:c>
      <x:c r="B37" s="426" t="str">
        <x:v>Las actividades iniciales de ramas independientes se dejan SIN predecesora. Para la siguiente actividad, escribe el ID de la anterior.</x:v>
      </x:c>
      <x:c r="C37" s="426"/>
      <x:c r="D37" s="426"/>
      <x:c r="E37" s="426"/>
      <x:c r="F37" s="426"/>
      <x:c r="G37" s="426"/>
      <x:c r="H37" s="426"/>
      <x:c r="I37" s="426"/>
      <x:c r="J37" s="426"/>
      <x:c r="K37" s="481"/>
    </x:row>
    <x:row r="38" ht="37" customHeight="1">
      <x:c r="A38" s="480" t="str">
        <x:v>4</x:v>
      </x:c>
      <x:c r="B38" s="432" t="str">
        <x:v>Cuando converjan ramas, registra en la actividad de unión TODOS los IDs que deben terminar antes de comenzar (hasta cuatro).</x:v>
      </x:c>
      <x:c r="C38" s="432"/>
      <x:c r="D38" s="432"/>
      <x:c r="E38" s="432"/>
      <x:c r="F38" s="432"/>
      <x:c r="G38" s="432"/>
      <x:c r="H38" s="432"/>
      <x:c r="I38" s="432"/>
      <x:c r="J38" s="432"/>
      <x:c r="K38" s="482"/>
    </x:row>
    <x:row r="39" ht="37" customHeight="1">
      <x:c r="A39" s="480" t="str">
        <x:v>5</x:v>
      </x:c>
      <x:c r="B39" s="426" t="str">
        <x:v>Organiza las filas de modo que cada predecesora aparezca arriba. Escribe origen, destino y distancia en cada transporte.</x:v>
      </x:c>
      <x:c r="C39" s="426"/>
      <x:c r="D39" s="426"/>
      <x:c r="E39" s="426"/>
      <x:c r="F39" s="426"/>
      <x:c r="G39" s="426"/>
      <x:c r="H39" s="426"/>
      <x:c r="I39" s="426"/>
      <x:c r="J39" s="426"/>
      <x:c r="K39" s="481"/>
    </x:row>
    <x:row r="40" ht="37" customHeight="1">
      <x:c r="A40" s="480" t="str">
        <x:v>6</x:v>
      </x:c>
      <x:c r="B40" s="432" t="str">
        <x:v>Crea el método nuevo en PROPUESTO y registra el mismo tipo de cursograma. Revisa X = OK antes de interpretar la duración.</x:v>
      </x:c>
      <x:c r="C40" s="432"/>
      <x:c r="D40" s="432"/>
      <x:c r="E40" s="432"/>
      <x:c r="F40" s="432"/>
      <x:c r="G40" s="432"/>
      <x:c r="H40" s="432"/>
      <x:c r="I40" s="432"/>
      <x:c r="J40" s="432"/>
      <x:c r="K40" s="482"/>
    </x:row>
    <x:row r="41" ht="37" customHeight="1">
      <x:c r="A41" s="483" t="str">
        <x:v>7</x:v>
      </x:c>
      <x:c r="B41" s="484" t="str">
        <x:v>En esta hoja, escribe los nombres de hasta 12 ramas para ver cantidades y tiempos registrados por rama. No sumes los tiempos de ramas para hallar la duración.</x:v>
      </x:c>
      <x:c r="C41" s="484"/>
      <x:c r="D41" s="484"/>
      <x:c r="E41" s="484"/>
      <x:c r="F41" s="484"/>
      <x:c r="G41" s="484"/>
      <x:c r="H41" s="484"/>
      <x:c r="I41" s="484"/>
      <x:c r="J41" s="484"/>
      <x:c r="K41" s="485"/>
    </x:row>
    <x:row r="42" ht="23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ht="23" customHeight="1">
      <x:c r="A43" s="222" t="str">
        <x:v>VALIDACIONES IMPORTANTES</x:v>
      </x:c>
      <x:c r="B43" s="223"/>
      <x:c r="C43" s="223"/>
      <x:c r="D43" s="223"/>
      <x:c r="E43" s="223"/>
      <x:c r="F43" s="223"/>
      <x:c r="G43" s="223"/>
      <x:c r="H43" s="223"/>
      <x:c r="I43" s="223"/>
      <x:c r="J43" s="223"/>
      <x:c r="K43" s="224"/>
    </x:row>
    <x:row r="44" ht="23" customHeight="1">
      <x:c r="A44" s="492" t="str">
        <x:v>CONTROL DEL ESTUDIO</x:v>
      </x:c>
      <x:c r="B44" s="21"/>
      <x:c r="C44" s="21"/>
      <x:c r="D44" s="4" t="str">
        <x:f>IF(OR(ACTUAL!D15="",PROPUESTO!D15=""),"SIN DEFINIR",IF(ACTUAL!D15=PROPUESTO!D15,"COINCIDEN","REVISAR: tipos distintos"))</x:f>
        <x:v>SIN DEFINIR</x:v>
      </x:c>
      <x:c r="E44" s="436" t="str">
        <x:v>El tipo debe ser igual al comparar los dos métodos.</x:v>
      </x:c>
      <x:c r="F44" s="436"/>
      <x:c r="G44" s="436"/>
      <x:c r="H44" s="436"/>
      <x:c r="I44" s="436"/>
      <x:c r="J44" s="436"/>
      <x:c r="K44" s="493"/>
    </x:row>
    <x:row r="45" ht="23" customHeight="1">
      <x:c r="A45" s="492" t="str">
        <x:v>FILAS PARA REVISAR (ACTUAL)</x:v>
      </x:c>
      <x:c r="B45" s="21"/>
      <x:c r="C45" s="21"/>
      <x:c r="D45" s="4" t="n">
        <x:f>COUNTIF(ACTUAL!$X$19:$X$118,"FALTA*")+COUNTIF(ACTUAL!$X$19:$X$118,"REVISAR*")+COUNTIF(ACTUAL!$X$19:$X$118,"ID REPETIDO")</x:f>
        <x:v>0</x:v>
      </x:c>
      <x:c r="E45" s="436" t="str">
        <x:v>Corrige todos los avisos de la columna CONTROL.</x:v>
      </x:c>
      <x:c r="F45" s="436"/>
      <x:c r="G45" s="436"/>
      <x:c r="H45" s="436"/>
      <x:c r="I45" s="436"/>
      <x:c r="J45" s="436"/>
      <x:c r="K45" s="493"/>
    </x:row>
    <x:row r="46" ht="23" customHeight="1">
      <x:c r="A46" s="494" t="str">
        <x:v>FILAS PARA REVISAR (PROPUESTO)</x:v>
      </x:c>
      <x:c r="B46" s="495"/>
      <x:c r="C46" s="495"/>
      <x:c r="D46" s="496" t="n">
        <x:f>COUNTIF(PROPUESTO!$X$19:$X$118,"FALTA*")+COUNTIF(PROPUESTO!$X$19:$X$118,"REVISAR*")+COUNTIF(PROPUESTO!$X$19:$X$118,"ID REPETIDO")</x:f>
        <x:v>0</x:v>
      </x:c>
      <x:c r="E46" s="497" t="str">
        <x:v>Asegúrate de registrar todos los datos antes de evaluar ahorros.</x:v>
      </x:c>
      <x:c r="F46" s="497"/>
      <x:c r="G46" s="497"/>
      <x:c r="H46" s="497"/>
      <x:c r="I46" s="497"/>
      <x:c r="J46" s="497"/>
      <x:c r="K46" s="498"/>
    </x:row>
    <x:row r="47" ht="23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 ht="23" customHeight="1">
      <x:c r="A48" s="506" t="str">
        <x:v>CRITERIO TÉCNICO</x:v>
      </x:c>
      <x:c r="B48" s="507"/>
      <x:c r="C48" s="507"/>
      <x:c r="D48" s="507"/>
      <x:c r="E48" s="507"/>
      <x:c r="F48" s="507"/>
      <x:c r="G48" s="507"/>
      <x:c r="H48" s="507"/>
      <x:c r="I48" s="507"/>
      <x:c r="J48" s="507"/>
      <x:c r="K48" s="508"/>
    </x:row>
    <x:row r="49" ht="23" customHeight="1">
      <x:c r="A49" s="509" t="str">
        <x:v>El cálculo del tiempo teórico muestra el camino más largo del conjunto de actividades vinculadas por sus predecesoras, suponiendo recursos disponibles para iniciar tareas simultáneas. Si las ramas comparten un operario o una máquina, los resultados deben revisarse con un estudio de programación o un diagrama hombre-máquina. Si hay más de cuatro entradas a un mismo punto, se requiere ampliar el registro de predecesoras, no inventar operaciones.</x:v>
      </x:c>
      <x:c r="B49" s="441"/>
      <x:c r="C49" s="441"/>
      <x:c r="D49" s="441"/>
      <x:c r="E49" s="441"/>
      <x:c r="F49" s="441"/>
      <x:c r="G49" s="441"/>
      <x:c r="H49" s="441"/>
      <x:c r="I49" s="441"/>
      <x:c r="J49" s="441"/>
      <x:c r="K49" s="510"/>
    </x:row>
    <x:row r="50" ht="23" customHeight="1">
      <x:c r="A50" s="509"/>
      <x:c r="B50" s="441"/>
      <x:c r="C50" s="441"/>
      <x:c r="D50" s="441"/>
      <x:c r="E50" s="441"/>
      <x:c r="F50" s="441"/>
      <x:c r="G50" s="441"/>
      <x:c r="H50" s="441"/>
      <x:c r="I50" s="441"/>
      <x:c r="J50" s="441"/>
      <x:c r="K50" s="510"/>
    </x:row>
    <x:row r="51" ht="23" customHeight="1">
      <x:c r="A51" s="511"/>
      <x:c r="B51" s="512"/>
      <x:c r="C51" s="512"/>
      <x:c r="D51" s="512"/>
      <x:c r="E51" s="512"/>
      <x:c r="F51" s="512"/>
      <x:c r="G51" s="512"/>
      <x:c r="H51" s="512"/>
      <x:c r="I51" s="512"/>
      <x:c r="J51" s="512"/>
      <x:c r="K51" s="513"/>
    </x:row>
    <x:row r="52" ht="23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</x:row>
  </x:sheetData>
  <x:mergeCells>
    <x:mergeCell ref="A1:K2"/>
    <x:mergeCell ref="A3:K3"/>
    <x:mergeCell ref="A5:K5"/>
    <x:mergeCell ref="A6:B6"/>
    <x:mergeCell ref="G6:K6"/>
    <x:mergeCell ref="A7:B7"/>
    <x:mergeCell ref="G7:K7"/>
    <x:mergeCell ref="A8:B8"/>
    <x:mergeCell ref="G8:K8"/>
    <x:mergeCell ref="A9:B9"/>
    <x:mergeCell ref="G9:K9"/>
    <x:mergeCell ref="A10:B10"/>
    <x:mergeCell ref="G10:K10"/>
    <x:mergeCell ref="A11:B11"/>
    <x:mergeCell ref="G11:K11"/>
    <x:mergeCell ref="A12:B12"/>
    <x:mergeCell ref="G12:K12"/>
    <x:mergeCell ref="A13:B13"/>
    <x:mergeCell ref="G13:K13"/>
    <x:mergeCell ref="A14:B14"/>
    <x:mergeCell ref="G14:K14"/>
    <x:mergeCell ref="A15:B15"/>
    <x:mergeCell ref="G15:K15"/>
    <x:mergeCell ref="A17:K17"/>
    <x:mergeCell ref="A19:K19"/>
    <x:mergeCell ref="B20:C20"/>
    <x:mergeCell ref="I20:K20"/>
    <x:mergeCell ref="B21:C21"/>
    <x:mergeCell ref="I21:K21"/>
    <x:mergeCell ref="B22:C22"/>
    <x:mergeCell ref="I22:K22"/>
    <x:mergeCell ref="B23:C23"/>
    <x:mergeCell ref="I23:K23"/>
    <x:mergeCell ref="B24:C24"/>
    <x:mergeCell ref="I24:K24"/>
    <x:mergeCell ref="B25:C25"/>
    <x:mergeCell ref="I25:K25"/>
    <x:mergeCell ref="B26:C26"/>
    <x:mergeCell ref="I26:K26"/>
    <x:mergeCell ref="B27:C27"/>
    <x:mergeCell ref="I27:K27"/>
    <x:mergeCell ref="B28:C28"/>
    <x:mergeCell ref="I28:K28"/>
    <x:mergeCell ref="B29:C29"/>
    <x:mergeCell ref="I29:K29"/>
    <x:mergeCell ref="B30:C30"/>
    <x:mergeCell ref="I30:K30"/>
    <x:mergeCell ref="B31:C31"/>
    <x:mergeCell ref="I31:K31"/>
    <x:mergeCell ref="B32:C32"/>
    <x:mergeCell ref="I32:K32"/>
    <x:mergeCell ref="A34:K34"/>
    <x:mergeCell ref="B35:K35"/>
    <x:mergeCell ref="B36:K36"/>
    <x:mergeCell ref="B37:K37"/>
    <x:mergeCell ref="B38:K38"/>
    <x:mergeCell ref="B39:K39"/>
    <x:mergeCell ref="B40:K40"/>
    <x:mergeCell ref="B41:K41"/>
    <x:mergeCell ref="A43:K43"/>
    <x:mergeCell ref="A44:C44"/>
    <x:mergeCell ref="E44:K44"/>
    <x:mergeCell ref="A45:C45"/>
    <x:mergeCell ref="E45:K45"/>
    <x:mergeCell ref="A46:C46"/>
    <x:mergeCell ref="E46:K46"/>
    <x:mergeCell ref="A48:K48"/>
    <x:mergeCell ref="A49:K51"/>
  </x:mergeCells>
  <x:pageMargins left="0.7" right="0.7" top="0.75" bottom="0.75" header="0.3" footer="0.3"/>
</x:worksheet>
</file>