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ky Ruiz\Documents\UNIREMINGTON\2026-2\METODOS Y TIEMPO\DIAPOSITIVAS\"/>
    </mc:Choice>
  </mc:AlternateContent>
  <xr:revisionPtr revIDLastSave="0" documentId="8_{5606EDA7-4E6E-493F-AAC7-F113C0AB13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" sheetId="1" r:id="rId1"/>
    <sheet name="SINOPTICO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7" i="1" l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G5" i="1"/>
  <c r="D5" i="1"/>
  <c r="B5" i="1"/>
</calcChain>
</file>

<file path=xl/sharedStrings.xml><?xml version="1.0" encoding="utf-8"?>
<sst xmlns="http://schemas.openxmlformats.org/spreadsheetml/2006/main" count="104" uniqueCount="68">
  <si>
    <t>1 | REGISTRA LAS ACTIVIDADES DEL PROCESO</t>
  </si>
  <si>
    <t>Amarillo = escribe tú. Las columnas J, K y L se completan solas. Línea 6 = proceso principal.</t>
  </si>
  <si>
    <t>OPERACIONES</t>
  </si>
  <si>
    <t>INSPECCIONES</t>
  </si>
  <si>
    <t>TIEMPO TOTAL (min)</t>
  </si>
  <si>
    <t>N.º</t>
  </si>
  <si>
    <t>LÍNEA (1-6)</t>
  </si>
  <si>
    <t>Componente / estación</t>
  </si>
  <si>
    <t>Actividad (verbo + objeto)</t>
  </si>
  <si>
    <t>Tipo</t>
  </si>
  <si>
    <t>Material de entrada</t>
  </si>
  <si>
    <t>Tiempo (min)</t>
  </si>
  <si>
    <t>Se une a</t>
  </si>
  <si>
    <t>Observaciones</t>
  </si>
  <si>
    <t>Símbolo</t>
  </si>
  <si>
    <t>Vista automática</t>
  </si>
  <si>
    <t>Capellada</t>
  </si>
  <si>
    <t>Cortar piezas de cuero</t>
  </si>
  <si>
    <t>Operación</t>
  </si>
  <si>
    <t>Cuero natural</t>
  </si>
  <si>
    <t>Corte de piezas</t>
  </si>
  <si>
    <t>Inspeccionar piezas cortadas</t>
  </si>
  <si>
    <t>Inspección</t>
  </si>
  <si>
    <t>Dimensiones y forma</t>
  </si>
  <si>
    <t>Coser piezas de cuero</t>
  </si>
  <si>
    <t>Hilo de poliéster</t>
  </si>
  <si>
    <t>Inspeccionar costuras</t>
  </si>
  <si>
    <t>Suela</t>
  </si>
  <si>
    <t>Cortar suela de caucho</t>
  </si>
  <si>
    <t>Lámina de caucho</t>
  </si>
  <si>
    <t>Inspeccionar dimensiones</t>
  </si>
  <si>
    <t>Lijar y acondicionar suela</t>
  </si>
  <si>
    <t>Ensamble - unir y prensar</t>
  </si>
  <si>
    <t>Se une a la capellada</t>
  </si>
  <si>
    <t>Ensamble</t>
  </si>
  <si>
    <t>Aplicar adhesivo</t>
  </si>
  <si>
    <t>Adhesivo</t>
  </si>
  <si>
    <t>Unir y prensar capellada y suela</t>
  </si>
  <si>
    <t>Capellada + suela</t>
  </si>
  <si>
    <t>Zapato ensamblado</t>
  </si>
  <si>
    <t>Convergencia de ramas</t>
  </si>
  <si>
    <t>Inspeccionar adherencia</t>
  </si>
  <si>
    <t>Zapato</t>
  </si>
  <si>
    <t>Acabado</t>
  </si>
  <si>
    <t>Pulir y limpiar zapato</t>
  </si>
  <si>
    <t>Colocar plantilla interior</t>
  </si>
  <si>
    <t>Plantilla</t>
  </si>
  <si>
    <t>Inspeccionar condiciones finales</t>
  </si>
  <si>
    <t>Empaque</t>
  </si>
  <si>
    <t>Envolver zapato</t>
  </si>
  <si>
    <t>Papel protector</t>
  </si>
  <si>
    <t>Introducir zapato y cerrar caja</t>
  </si>
  <si>
    <t>Caja</t>
  </si>
  <si>
    <t>Producto terminado</t>
  </si>
  <si>
    <t>CURSOGRAMA SINÓPTICO DEL PROCESO</t>
  </si>
  <si>
    <t>Índice</t>
  </si>
  <si>
    <t>Descripción</t>
  </si>
  <si>
    <t>SÍMBOLOS</t>
  </si>
  <si>
    <t>REALIZO</t>
  </si>
  <si>
    <t>FECHA</t>
  </si>
  <si>
    <t>NOTAS</t>
  </si>
  <si>
    <t>Resumen</t>
  </si>
  <si>
    <t>Actividad</t>
  </si>
  <si>
    <t>Cantidad</t>
  </si>
  <si>
    <t>Tiempo</t>
  </si>
  <si>
    <t>Operaciones</t>
  </si>
  <si>
    <t>Inspecciones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</si>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</sst>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1"/>
      <color rgb="FFFFFFFF"/>
      <name val="Carlito"/>
    </font>
    <font>
      <b/>
      <sz val="17"/>
      <color rgb="FFFFFFFF"/>
      <name val="Carlito"/>
    </font>
    <font>
      <sz val="11"/>
      <color rgb="FF243746"/>
      <name val="Carlito"/>
    </font>
    <font>
      <b/>
      <sz val="14"/>
      <color rgb="FF087F76"/>
      <name val="Carlito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24A"/>
      </patternFill>
    </fill>
    <fill>
      <patternFill patternType="solid">
        <fgColor rgb="FF087F76"/>
      </patternFill>
    </fill>
    <fill>
      <patternFill patternType="solid">
        <fgColor rgb="FFFFF4D8"/>
      </patternFill>
    </fill>
    <fill>
      <patternFill patternType="solid">
        <fgColor rgb="FFE8F5F2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4" borderId="0" xfId="0" applyFill="1"/>
    <xf numFmtId="0" fontId="1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4" fillId="5" borderId="0" xfId="0" applyFont="1" applyFill="1"/>
    <xf numFmtId="0" fontId="2" fillId="2" borderId="0" xfId="0" applyFont="1" applyFill="1"/>
    <xf numFmtId="0" fontId="3" fillId="4" borderId="0" xfId="0" applyFont="1" applyFill="1"/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textRotation="90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left" vertical="center" textRotation="90"/>
    </xf>
    <xf numFmtId="0" fontId="9" fillId="0" borderId="0" xfId="0" applyFont="1"/>
    <xf numFmtId="0" fontId="8" fillId="6" borderId="6" xfId="0" applyFont="1" applyFill="1" applyBorder="1" applyAlignment="1">
      <alignment horizontal="center"/>
    </xf>
    <xf numFmtId="0" fontId="10" fillId="6" borderId="5" xfId="0" applyFont="1" applyFill="1" applyBorder="1"/>
    <xf numFmtId="0" fontId="8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4" xfId="0" applyFont="1" applyFill="1" applyBorder="1"/>
    <xf numFmtId="0" fontId="9" fillId="6" borderId="6" xfId="0" applyFont="1" applyFill="1" applyBorder="1"/>
    <xf numFmtId="0" fontId="0" fillId="6" borderId="6" xfId="0" applyFill="1" applyBorder="1"/>
    <xf numFmtId="0" fontId="9" fillId="6" borderId="4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14" fontId="9" fillId="6" borderId="4" xfId="0" applyNumberFormat="1" applyFont="1" applyFill="1" applyBorder="1" applyAlignment="1">
      <alignment horizontal="center" vertical="center"/>
    </xf>
    <xf numFmtId="14" fontId="9" fillId="6" borderId="7" xfId="0" applyNumberFormat="1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left" vertical="top" wrapText="1"/>
    </xf>
    <xf numFmtId="0" fontId="9" fillId="6" borderId="6" xfId="0" applyFont="1" applyFill="1" applyBorder="1" applyAlignment="1">
      <alignment horizontal="left" vertical="top" wrapText="1"/>
    </xf>
    <xf numFmtId="0" fontId="9" fillId="6" borderId="8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7" xfId="0" applyFont="1" applyFill="1" applyBorder="1"/>
    <xf numFmtId="0" fontId="9" fillId="6" borderId="11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left" vertical="top" wrapText="1"/>
    </xf>
    <xf numFmtId="0" fontId="7" fillId="7" borderId="7" xfId="0" applyFont="1" applyFill="1" applyBorder="1" applyAlignment="1">
      <alignment horizontal="left" vertical="center" textRotation="90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3</xdr:row>
      <xdr:rowOff>76200</xdr:rowOff>
    </xdr:from>
    <xdr:to>
      <xdr:col>5</xdr:col>
      <xdr:colOff>600075</xdr:colOff>
      <xdr:row>5</xdr:row>
      <xdr:rowOff>77013</xdr:rowOff>
    </xdr:to>
    <xdr:sp macro="" textlink="">
      <xdr:nvSpPr>
        <xdr:cNvPr id="2" name="Oval 8">
          <a:extLst>
            <a:ext uri="{FF2B5EF4-FFF2-40B4-BE49-F238E27FC236}">
              <a16:creationId xmlns:a16="http://schemas.microsoft.com/office/drawing/2014/main" id="{031CF997-BDE4-4795-9E19-C09EDF5F814D}"/>
            </a:ext>
          </a:extLst>
        </xdr:cNvPr>
        <xdr:cNvSpPr>
          <a:spLocks noChangeArrowheads="1"/>
        </xdr:cNvSpPr>
      </xdr:nvSpPr>
      <xdr:spPr bwMode="auto">
        <a:xfrm>
          <a:off x="7537451" y="736600"/>
          <a:ext cx="390524" cy="369113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  <xdr:txBody>
        <a:bodyPr wrap="square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 sz="12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232574</xdr:colOff>
      <xdr:row>7</xdr:row>
      <xdr:rowOff>104774</xdr:rowOff>
    </xdr:from>
    <xdr:to>
      <xdr:col>5</xdr:col>
      <xdr:colOff>600075</xdr:colOff>
      <xdr:row>9</xdr:row>
      <xdr:rowOff>99017</xdr:rowOff>
    </xdr:to>
    <xdr:sp macro="" textlink="">
      <xdr:nvSpPr>
        <xdr:cNvPr id="3" name="43 Rectángulo">
          <a:extLst>
            <a:ext uri="{FF2B5EF4-FFF2-40B4-BE49-F238E27FC236}">
              <a16:creationId xmlns:a16="http://schemas.microsoft.com/office/drawing/2014/main" id="{7E980522-B891-4D05-8F25-E68E39DD15C2}"/>
            </a:ext>
          </a:extLst>
        </xdr:cNvPr>
        <xdr:cNvSpPr/>
      </xdr:nvSpPr>
      <xdr:spPr>
        <a:xfrm>
          <a:off x="7560474" y="1501774"/>
          <a:ext cx="367501" cy="362543"/>
        </a:xfrm>
        <a:prstGeom prst="rect">
          <a:avLst/>
        </a:prstGeom>
        <a:solidFill>
          <a:srgbClr val="FF6600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zoomScale="50" zoomScaleNormal="50" workbookViewId="0">
      <pane ySplit="7" topLeftCell="A8" activePane="bottomLeft" state="frozen"/>
      <selection pane="bottomLeft" activeCell="M14" sqref="M14"/>
    </sheetView>
  </sheetViews>
  <sheetFormatPr baseColWidth="10" defaultColWidth="8.6640625" defaultRowHeight="14"/>
  <cols>
    <col min="1" max="1" width="9" customWidth="1"/>
    <col min="2" max="2" width="12" customWidth="1"/>
    <col min="3" max="3" width="27" customWidth="1"/>
    <col min="4" max="4" width="39" customWidth="1"/>
    <col min="5" max="5" width="17" customWidth="1"/>
    <col min="6" max="6" width="25" customWidth="1"/>
    <col min="7" max="7" width="14" customWidth="1"/>
    <col min="8" max="8" width="31" customWidth="1"/>
    <col min="9" max="9" width="33" customWidth="1"/>
    <col min="10" max="10" width="13" customWidth="1"/>
    <col min="11" max="11" width="70" customWidth="1"/>
  </cols>
  <sheetData>
    <row r="1" spans="1:11" ht="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4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8">
      <c r="A5" t="s">
        <v>2</v>
      </c>
      <c r="B5" s="6">
        <f>COUNTIF(E8:E97,"Operación")</f>
        <v>10</v>
      </c>
      <c r="C5" t="s">
        <v>3</v>
      </c>
      <c r="D5" s="6">
        <f>COUNTIF(E8:E97,"Inspección")</f>
        <v>5</v>
      </c>
      <c r="E5" t="s">
        <v>4</v>
      </c>
      <c r="G5" s="6">
        <f>SUM(G8:G97)</f>
        <v>80</v>
      </c>
    </row>
    <row r="7" spans="1:11" ht="34" customHeight="1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</row>
    <row r="8" spans="1:11" ht="29" customHeight="1">
      <c r="A8" s="1">
        <v>1</v>
      </c>
      <c r="B8" s="1">
        <v>1</v>
      </c>
      <c r="C8" s="1" t="s">
        <v>16</v>
      </c>
      <c r="D8" s="3" t="s">
        <v>17</v>
      </c>
      <c r="E8" s="1" t="s">
        <v>18</v>
      </c>
      <c r="F8" s="1" t="s">
        <v>19</v>
      </c>
      <c r="G8" s="1">
        <v>10</v>
      </c>
      <c r="H8" s="3" t="s">
        <v>16</v>
      </c>
      <c r="I8" s="3" t="s">
        <v>20</v>
      </c>
      <c r="J8" s="4" t="str">
        <f>IF(D8="","",IF(E8="Operación","○ O-"&amp;COUNTIF($E$8:E8,"Operación"),IF(E8="Inspección","□ I-"&amp;COUNTIF($E$8:E8,"Inspección"),"REVISAR TIPO")))</f>
        <v>○ O-1</v>
      </c>
      <c r="K8" s="5" t="str">
        <f t="shared" ref="K8:K39" si="0">IF(D8="","",J8&amp;"  "&amp;D8&amp;"  ("&amp;IF(G8="","?",G8)&amp;" min)"&amp;IF(H8="","","   → "&amp;H8))</f>
        <v>○ O-1  Cortar piezas de cuero  (10 min)   → Capellada</v>
      </c>
    </row>
    <row r="9" spans="1:11" ht="29" customHeight="1">
      <c r="A9" s="1">
        <v>2</v>
      </c>
      <c r="B9" s="1">
        <v>1</v>
      </c>
      <c r="C9" s="1" t="s">
        <v>16</v>
      </c>
      <c r="D9" s="3" t="s">
        <v>21</v>
      </c>
      <c r="E9" s="1" t="s">
        <v>22</v>
      </c>
      <c r="F9" s="1"/>
      <c r="G9" s="1">
        <v>2</v>
      </c>
      <c r="H9" s="3" t="s">
        <v>16</v>
      </c>
      <c r="I9" s="3" t="s">
        <v>23</v>
      </c>
      <c r="J9" s="4" t="str">
        <f>IF(D9="","",IF(E9="Operación","○ O-"&amp;COUNTIF($E$8:E9,"Operación"),IF(E9="Inspección","□ I-"&amp;COUNTIF($E$8:E9,"Inspección"),"REVISAR TIPO")))</f>
        <v>□ I-1</v>
      </c>
      <c r="K9" s="5" t="str">
        <f t="shared" si="0"/>
        <v>□ I-1  Inspeccionar piezas cortadas  (2 min)   → Capellada</v>
      </c>
    </row>
    <row r="10" spans="1:11" ht="29" customHeight="1">
      <c r="A10" s="1">
        <v>3</v>
      </c>
      <c r="B10" s="1">
        <v>1</v>
      </c>
      <c r="C10" s="1" t="s">
        <v>16</v>
      </c>
      <c r="D10" s="3" t="s">
        <v>24</v>
      </c>
      <c r="E10" s="1" t="s">
        <v>18</v>
      </c>
      <c r="F10" s="1" t="s">
        <v>25</v>
      </c>
      <c r="G10" s="1">
        <v>15</v>
      </c>
      <c r="H10" s="3" t="s">
        <v>16</v>
      </c>
      <c r="I10" s="3"/>
      <c r="J10" s="4" t="str">
        <f>IF(D10="","",IF(E10="Operación","○ O-"&amp;COUNTIF($E$8:E10,"Operación"),IF(E10="Inspección","□ I-"&amp;COUNTIF($E$8:E10,"Inspección"),"REVISAR TIPO")))</f>
        <v>○ O-2</v>
      </c>
      <c r="K10" s="5" t="str">
        <f t="shared" si="0"/>
        <v>○ O-2  Coser piezas de cuero  (15 min)   → Capellada</v>
      </c>
    </row>
    <row r="11" spans="1:11" ht="29" customHeight="1">
      <c r="A11" s="1">
        <v>4</v>
      </c>
      <c r="B11" s="1">
        <v>1</v>
      </c>
      <c r="C11" s="1" t="s">
        <v>16</v>
      </c>
      <c r="D11" s="3" t="s">
        <v>26</v>
      </c>
      <c r="E11" s="1" t="s">
        <v>22</v>
      </c>
      <c r="F11" s="1"/>
      <c r="G11" s="1">
        <v>3</v>
      </c>
      <c r="H11" s="3" t="s">
        <v>16</v>
      </c>
      <c r="I11" s="3"/>
      <c r="J11" s="4" t="str">
        <f>IF(D11="","",IF(E11="Operación","○ O-"&amp;COUNTIF($E$8:E11,"Operación"),IF(E11="Inspección","□ I-"&amp;COUNTIF($E$8:E11,"Inspección"),"REVISAR TIPO")))</f>
        <v>□ I-2</v>
      </c>
      <c r="K11" s="5" t="str">
        <f t="shared" si="0"/>
        <v>□ I-2  Inspeccionar costuras  (3 min)   → Capellada</v>
      </c>
    </row>
    <row r="12" spans="1:11" ht="29" customHeight="1">
      <c r="A12" s="1">
        <v>5</v>
      </c>
      <c r="B12" s="1">
        <v>2</v>
      </c>
      <c r="C12" s="1" t="s">
        <v>27</v>
      </c>
      <c r="D12" s="3" t="s">
        <v>28</v>
      </c>
      <c r="E12" s="1" t="s">
        <v>18</v>
      </c>
      <c r="F12" s="1" t="s">
        <v>29</v>
      </c>
      <c r="G12" s="1">
        <v>6</v>
      </c>
      <c r="H12" s="3" t="s">
        <v>27</v>
      </c>
      <c r="I12" s="3"/>
      <c r="J12" s="4" t="str">
        <f>IF(D12="","",IF(E12="Operación","○ O-"&amp;COUNTIF($E$8:E12,"Operación"),IF(E12="Inspección","□ I-"&amp;COUNTIF($E$8:E12,"Inspección"),"REVISAR TIPO")))</f>
        <v>○ O-3</v>
      </c>
      <c r="K12" s="5" t="str">
        <f t="shared" si="0"/>
        <v>○ O-3  Cortar suela de caucho  (6 min)   → Suela</v>
      </c>
    </row>
    <row r="13" spans="1:11" ht="29" customHeight="1">
      <c r="A13" s="1">
        <v>6</v>
      </c>
      <c r="B13" s="1">
        <v>2</v>
      </c>
      <c r="C13" s="1" t="s">
        <v>27</v>
      </c>
      <c r="D13" s="3" t="s">
        <v>30</v>
      </c>
      <c r="E13" s="1" t="s">
        <v>22</v>
      </c>
      <c r="F13" s="1"/>
      <c r="G13" s="1">
        <v>2</v>
      </c>
      <c r="H13" s="3" t="s">
        <v>27</v>
      </c>
      <c r="I13" s="3"/>
      <c r="J13" s="4" t="str">
        <f>IF(D13="","",IF(E13="Operación","○ O-"&amp;COUNTIF($E$8:E13,"Operación"),IF(E13="Inspección","□ I-"&amp;COUNTIF($E$8:E13,"Inspección"),"REVISAR TIPO")))</f>
        <v>□ I-3</v>
      </c>
      <c r="K13" s="5" t="str">
        <f t="shared" si="0"/>
        <v>□ I-3  Inspeccionar dimensiones  (2 min)   → Suela</v>
      </c>
    </row>
    <row r="14" spans="1:11" ht="29" customHeight="1">
      <c r="A14" s="1">
        <v>7</v>
      </c>
      <c r="B14" s="1">
        <v>2</v>
      </c>
      <c r="C14" s="1" t="s">
        <v>27</v>
      </c>
      <c r="D14" s="3" t="s">
        <v>31</v>
      </c>
      <c r="E14" s="1" t="s">
        <v>18</v>
      </c>
      <c r="F14" s="1"/>
      <c r="G14" s="1">
        <v>5</v>
      </c>
      <c r="H14" s="3" t="s">
        <v>32</v>
      </c>
      <c r="I14" s="3" t="s">
        <v>33</v>
      </c>
      <c r="J14" s="4" t="str">
        <f>IF(D14="","",IF(E14="Operación","○ O-"&amp;COUNTIF($E$8:E14,"Operación"),IF(E14="Inspección","□ I-"&amp;COUNTIF($E$8:E14,"Inspección"),"REVISAR TIPO")))</f>
        <v>○ O-4</v>
      </c>
      <c r="K14" s="5" t="str">
        <f t="shared" si="0"/>
        <v>○ O-4  Lijar y acondicionar suela  (5 min)   → Ensamble - unir y prensar</v>
      </c>
    </row>
    <row r="15" spans="1:11" ht="29" customHeight="1">
      <c r="A15" s="1">
        <v>8</v>
      </c>
      <c r="B15" s="1">
        <v>6</v>
      </c>
      <c r="C15" s="1" t="s">
        <v>34</v>
      </c>
      <c r="D15" s="3" t="s">
        <v>35</v>
      </c>
      <c r="E15" s="1" t="s">
        <v>18</v>
      </c>
      <c r="F15" s="1" t="s">
        <v>36</v>
      </c>
      <c r="G15" s="1">
        <v>4</v>
      </c>
      <c r="H15" s="3" t="s">
        <v>34</v>
      </c>
      <c r="I15" s="3"/>
      <c r="J15" s="4" t="str">
        <f>IF(D15="","",IF(E15="Operación","○ O-"&amp;COUNTIF($E$8:E15,"Operación"),IF(E15="Inspección","□ I-"&amp;COUNTIF($E$8:E15,"Inspección"),"REVISAR TIPO")))</f>
        <v>○ O-5</v>
      </c>
      <c r="K15" s="5" t="str">
        <f t="shared" si="0"/>
        <v>○ O-5  Aplicar adhesivo  (4 min)   → Ensamble</v>
      </c>
    </row>
    <row r="16" spans="1:11" ht="29" customHeight="1">
      <c r="A16" s="1">
        <v>9</v>
      </c>
      <c r="B16" s="1">
        <v>6</v>
      </c>
      <c r="C16" s="1" t="s">
        <v>34</v>
      </c>
      <c r="D16" s="3" t="s">
        <v>37</v>
      </c>
      <c r="E16" s="1" t="s">
        <v>18</v>
      </c>
      <c r="F16" s="1" t="s">
        <v>38</v>
      </c>
      <c r="G16" s="1">
        <v>12</v>
      </c>
      <c r="H16" s="3" t="s">
        <v>39</v>
      </c>
      <c r="I16" s="3" t="s">
        <v>40</v>
      </c>
      <c r="J16" s="4" t="str">
        <f>IF(D16="","",IF(E16="Operación","○ O-"&amp;COUNTIF($E$8:E16,"Operación"),IF(E16="Inspección","□ I-"&amp;COUNTIF($E$8:E16,"Inspección"),"REVISAR TIPO")))</f>
        <v>○ O-6</v>
      </c>
      <c r="K16" s="5" t="str">
        <f t="shared" si="0"/>
        <v>○ O-6  Unir y prensar capellada y suela  (12 min)   → Zapato ensamblado</v>
      </c>
    </row>
    <row r="17" spans="1:11" ht="29" customHeight="1">
      <c r="A17" s="1">
        <v>10</v>
      </c>
      <c r="B17" s="1">
        <v>6</v>
      </c>
      <c r="C17" s="1" t="s">
        <v>34</v>
      </c>
      <c r="D17" s="3" t="s">
        <v>41</v>
      </c>
      <c r="E17" s="1" t="s">
        <v>22</v>
      </c>
      <c r="F17" s="1"/>
      <c r="G17" s="1">
        <v>3</v>
      </c>
      <c r="H17" s="3" t="s">
        <v>42</v>
      </c>
      <c r="I17" s="3"/>
      <c r="J17" s="4" t="str">
        <f>IF(D17="","",IF(E17="Operación","○ O-"&amp;COUNTIF($E$8:E17,"Operación"),IF(E17="Inspección","□ I-"&amp;COUNTIF($E$8:E17,"Inspección"),"REVISAR TIPO")))</f>
        <v>□ I-4</v>
      </c>
      <c r="K17" s="5" t="str">
        <f t="shared" si="0"/>
        <v>□ I-4  Inspeccionar adherencia  (3 min)   → Zapato</v>
      </c>
    </row>
    <row r="18" spans="1:11" ht="29" customHeight="1">
      <c r="A18" s="1">
        <v>11</v>
      </c>
      <c r="B18" s="1">
        <v>6</v>
      </c>
      <c r="C18" s="1" t="s">
        <v>43</v>
      </c>
      <c r="D18" s="3" t="s">
        <v>44</v>
      </c>
      <c r="E18" s="1" t="s">
        <v>18</v>
      </c>
      <c r="F18" s="1"/>
      <c r="G18" s="1">
        <v>8</v>
      </c>
      <c r="H18" s="3" t="s">
        <v>42</v>
      </c>
      <c r="I18" s="3"/>
      <c r="J18" s="4" t="str">
        <f>IF(D18="","",IF(E18="Operación","○ O-"&amp;COUNTIF($E$8:E18,"Operación"),IF(E18="Inspección","□ I-"&amp;COUNTIF($E$8:E18,"Inspección"),"REVISAR TIPO")))</f>
        <v>○ O-7</v>
      </c>
      <c r="K18" s="5" t="str">
        <f t="shared" si="0"/>
        <v>○ O-7  Pulir y limpiar zapato  (8 min)   → Zapato</v>
      </c>
    </row>
    <row r="19" spans="1:11" ht="29" customHeight="1">
      <c r="A19" s="1">
        <v>12</v>
      </c>
      <c r="B19" s="1">
        <v>6</v>
      </c>
      <c r="C19" s="1" t="s">
        <v>43</v>
      </c>
      <c r="D19" s="3" t="s">
        <v>45</v>
      </c>
      <c r="E19" s="1" t="s">
        <v>18</v>
      </c>
      <c r="F19" s="1" t="s">
        <v>46</v>
      </c>
      <c r="G19" s="1">
        <v>2</v>
      </c>
      <c r="H19" s="3" t="s">
        <v>42</v>
      </c>
      <c r="I19" s="3"/>
      <c r="J19" s="4" t="str">
        <f>IF(D19="","",IF(E19="Operación","○ O-"&amp;COUNTIF($E$8:E19,"Operación"),IF(E19="Inspección","□ I-"&amp;COUNTIF($E$8:E19,"Inspección"),"REVISAR TIPO")))</f>
        <v>○ O-8</v>
      </c>
      <c r="K19" s="5" t="str">
        <f t="shared" si="0"/>
        <v>○ O-8  Colocar plantilla interior  (2 min)   → Zapato</v>
      </c>
    </row>
    <row r="20" spans="1:11" ht="29" customHeight="1">
      <c r="A20" s="1">
        <v>13</v>
      </c>
      <c r="B20" s="1">
        <v>6</v>
      </c>
      <c r="C20" s="1" t="s">
        <v>43</v>
      </c>
      <c r="D20" s="3" t="s">
        <v>47</v>
      </c>
      <c r="E20" s="1" t="s">
        <v>22</v>
      </c>
      <c r="F20" s="1"/>
      <c r="G20" s="1">
        <v>4</v>
      </c>
      <c r="H20" s="3" t="s">
        <v>42</v>
      </c>
      <c r="I20" s="3"/>
      <c r="J20" s="4" t="str">
        <f>IF(D20="","",IF(E20="Operación","○ O-"&amp;COUNTIF($E$8:E20,"Operación"),IF(E20="Inspección","□ I-"&amp;COUNTIF($E$8:E20,"Inspección"),"REVISAR TIPO")))</f>
        <v>□ I-5</v>
      </c>
      <c r="K20" s="5" t="str">
        <f t="shared" si="0"/>
        <v>□ I-5  Inspeccionar condiciones finales  (4 min)   → Zapato</v>
      </c>
    </row>
    <row r="21" spans="1:11" ht="29" customHeight="1">
      <c r="A21" s="1">
        <v>14</v>
      </c>
      <c r="B21" s="1">
        <v>6</v>
      </c>
      <c r="C21" s="1" t="s">
        <v>48</v>
      </c>
      <c r="D21" s="3" t="s">
        <v>49</v>
      </c>
      <c r="E21" s="1" t="s">
        <v>18</v>
      </c>
      <c r="F21" s="1" t="s">
        <v>50</v>
      </c>
      <c r="G21" s="1">
        <v>1</v>
      </c>
      <c r="H21" s="3" t="s">
        <v>48</v>
      </c>
      <c r="I21" s="3"/>
      <c r="J21" s="4" t="str">
        <f>IF(D21="","",IF(E21="Operación","○ O-"&amp;COUNTIF($E$8:E21,"Operación"),IF(E21="Inspección","□ I-"&amp;COUNTIF($E$8:E21,"Inspección"),"REVISAR TIPO")))</f>
        <v>○ O-9</v>
      </c>
      <c r="K21" s="5" t="str">
        <f t="shared" si="0"/>
        <v>○ O-9  Envolver zapato  (1 min)   → Empaque</v>
      </c>
    </row>
    <row r="22" spans="1:11" ht="29" customHeight="1">
      <c r="A22" s="1">
        <v>15</v>
      </c>
      <c r="B22" s="1">
        <v>6</v>
      </c>
      <c r="C22" s="1" t="s">
        <v>48</v>
      </c>
      <c r="D22" s="3" t="s">
        <v>51</v>
      </c>
      <c r="E22" s="1" t="s">
        <v>18</v>
      </c>
      <c r="F22" s="1" t="s">
        <v>52</v>
      </c>
      <c r="G22" s="1">
        <v>3</v>
      </c>
      <c r="H22" s="3" t="s">
        <v>53</v>
      </c>
      <c r="I22" s="3"/>
      <c r="J22" s="4" t="str">
        <f>IF(D22="","",IF(E22="Operación","○ O-"&amp;COUNTIF($E$8:E22,"Operación"),IF(E22="Inspección","□ I-"&amp;COUNTIF($E$8:E22,"Inspección"),"REVISAR TIPO")))</f>
        <v>○ O-10</v>
      </c>
      <c r="K22" s="5" t="str">
        <f t="shared" si="0"/>
        <v>○ O-10  Introducir zapato y cerrar caja  (3 min)   → Producto terminado</v>
      </c>
    </row>
    <row r="23" spans="1:11" ht="29" customHeight="1">
      <c r="A23" s="1"/>
      <c r="B23" s="1"/>
      <c r="C23" s="1"/>
      <c r="D23" s="3"/>
      <c r="E23" s="1"/>
      <c r="F23" s="1"/>
      <c r="G23" s="1"/>
      <c r="H23" s="3"/>
      <c r="I23" s="3"/>
      <c r="J23" s="4" t="str">
        <f>IF(D23="","",IF(E23="Operación","○ O-"&amp;COUNTIF($E$8:E23,"Operación"),IF(E23="Inspección","□ I-"&amp;COUNTIF($E$8:E23,"Inspección"),"REVISAR TIPO")))</f>
        <v/>
      </c>
      <c r="K23" s="5" t="str">
        <f t="shared" si="0"/>
        <v/>
      </c>
    </row>
    <row r="24" spans="1:11" ht="29" customHeight="1">
      <c r="A24" s="1"/>
      <c r="B24" s="1"/>
      <c r="C24" s="1"/>
      <c r="D24" s="3"/>
      <c r="E24" s="1"/>
      <c r="F24" s="1"/>
      <c r="G24" s="1"/>
      <c r="H24" s="3"/>
      <c r="I24" s="3"/>
      <c r="J24" s="4" t="str">
        <f>IF(D24="","",IF(E24="Operación","○ O-"&amp;COUNTIF($E$8:E24,"Operación"),IF(E24="Inspección","□ I-"&amp;COUNTIF($E$8:E24,"Inspección"),"REVISAR TIPO")))</f>
        <v/>
      </c>
      <c r="K24" s="5" t="str">
        <f t="shared" si="0"/>
        <v/>
      </c>
    </row>
    <row r="25" spans="1:11" ht="29" customHeight="1">
      <c r="A25" s="1"/>
      <c r="B25" s="1"/>
      <c r="C25" s="1"/>
      <c r="D25" s="3"/>
      <c r="E25" s="1"/>
      <c r="F25" s="1"/>
      <c r="G25" s="1"/>
      <c r="H25" s="3"/>
      <c r="I25" s="3"/>
      <c r="J25" s="4" t="str">
        <f>IF(D25="","",IF(E25="Operación","○ O-"&amp;COUNTIF($E$8:E25,"Operación"),IF(E25="Inspección","□ I-"&amp;COUNTIF($E$8:E25,"Inspección"),"REVISAR TIPO")))</f>
        <v/>
      </c>
      <c r="K25" s="5" t="str">
        <f t="shared" si="0"/>
        <v/>
      </c>
    </row>
    <row r="26" spans="1:11" ht="29" customHeight="1">
      <c r="A26" s="1"/>
      <c r="B26" s="1"/>
      <c r="C26" s="1"/>
      <c r="D26" s="3"/>
      <c r="E26" s="1"/>
      <c r="F26" s="1"/>
      <c r="G26" s="1"/>
      <c r="H26" s="3"/>
      <c r="I26" s="3"/>
      <c r="J26" s="4" t="str">
        <f>IF(D26="","",IF(E26="Operación","○ O-"&amp;COUNTIF($E$8:E26,"Operación"),IF(E26="Inspección","□ I-"&amp;COUNTIF($E$8:E26,"Inspección"),"REVISAR TIPO")))</f>
        <v/>
      </c>
      <c r="K26" s="5" t="str">
        <f t="shared" si="0"/>
        <v/>
      </c>
    </row>
    <row r="27" spans="1:11" ht="29" customHeight="1">
      <c r="A27" s="1"/>
      <c r="B27" s="1"/>
      <c r="C27" s="1"/>
      <c r="D27" s="3"/>
      <c r="E27" s="1"/>
      <c r="F27" s="1"/>
      <c r="G27" s="1"/>
      <c r="H27" s="3"/>
      <c r="I27" s="3"/>
      <c r="J27" s="4" t="str">
        <f>IF(D27="","",IF(E27="Operación","○ O-"&amp;COUNTIF($E$8:E27,"Operación"),IF(E27="Inspección","□ I-"&amp;COUNTIF($E$8:E27,"Inspección"),"REVISAR TIPO")))</f>
        <v/>
      </c>
      <c r="K27" s="5" t="str">
        <f t="shared" si="0"/>
        <v/>
      </c>
    </row>
    <row r="28" spans="1:11" ht="29" customHeight="1">
      <c r="A28" s="1"/>
      <c r="B28" s="1"/>
      <c r="C28" s="1"/>
      <c r="D28" s="3"/>
      <c r="E28" s="1"/>
      <c r="F28" s="1"/>
      <c r="G28" s="1"/>
      <c r="H28" s="3"/>
      <c r="I28" s="3"/>
      <c r="J28" s="4" t="str">
        <f>IF(D28="","",IF(E28="Operación","○ O-"&amp;COUNTIF($E$8:E28,"Operación"),IF(E28="Inspección","□ I-"&amp;COUNTIF($E$8:E28,"Inspección"),"REVISAR TIPO")))</f>
        <v/>
      </c>
      <c r="K28" s="5" t="str">
        <f t="shared" si="0"/>
        <v/>
      </c>
    </row>
    <row r="29" spans="1:11" ht="29" customHeight="1">
      <c r="A29" s="1"/>
      <c r="B29" s="1"/>
      <c r="C29" s="1"/>
      <c r="D29" s="3"/>
      <c r="E29" s="1"/>
      <c r="F29" s="1"/>
      <c r="G29" s="1"/>
      <c r="H29" s="3"/>
      <c r="I29" s="3"/>
      <c r="J29" s="4" t="str">
        <f>IF(D29="","",IF(E29="Operación","○ O-"&amp;COUNTIF($E$8:E29,"Operación"),IF(E29="Inspección","□ I-"&amp;COUNTIF($E$8:E29,"Inspección"),"REVISAR TIPO")))</f>
        <v/>
      </c>
      <c r="K29" s="5" t="str">
        <f t="shared" si="0"/>
        <v/>
      </c>
    </row>
    <row r="30" spans="1:11" ht="29" customHeight="1">
      <c r="A30" s="1"/>
      <c r="B30" s="1"/>
      <c r="C30" s="1"/>
      <c r="D30" s="3"/>
      <c r="E30" s="1"/>
      <c r="F30" s="1"/>
      <c r="G30" s="1"/>
      <c r="H30" s="3"/>
      <c r="I30" s="3"/>
      <c r="J30" s="4" t="str">
        <f>IF(D30="","",IF(E30="Operación","○ O-"&amp;COUNTIF($E$8:E30,"Operación"),IF(E30="Inspección","□ I-"&amp;COUNTIF($E$8:E30,"Inspección"),"REVISAR TIPO")))</f>
        <v/>
      </c>
      <c r="K30" s="5" t="str">
        <f t="shared" si="0"/>
        <v/>
      </c>
    </row>
    <row r="31" spans="1:11" ht="29" customHeight="1">
      <c r="A31" s="1"/>
      <c r="B31" s="1"/>
      <c r="C31" s="1"/>
      <c r="D31" s="3"/>
      <c r="E31" s="1"/>
      <c r="F31" s="1"/>
      <c r="G31" s="1"/>
      <c r="H31" s="3"/>
      <c r="I31" s="3"/>
      <c r="J31" s="4" t="str">
        <f>IF(D31="","",IF(E31="Operación","○ O-"&amp;COUNTIF($E$8:E31,"Operación"),IF(E31="Inspección","□ I-"&amp;COUNTIF($E$8:E31,"Inspección"),"REVISAR TIPO")))</f>
        <v/>
      </c>
      <c r="K31" s="5" t="str">
        <f t="shared" si="0"/>
        <v/>
      </c>
    </row>
    <row r="32" spans="1:11" ht="29" customHeight="1">
      <c r="A32" s="1"/>
      <c r="B32" s="1"/>
      <c r="C32" s="1"/>
      <c r="D32" s="3"/>
      <c r="E32" s="1"/>
      <c r="F32" s="1"/>
      <c r="G32" s="1"/>
      <c r="H32" s="3"/>
      <c r="I32" s="3"/>
      <c r="J32" s="4" t="str">
        <f>IF(D32="","",IF(E32="Operación","○ O-"&amp;COUNTIF($E$8:E32,"Operación"),IF(E32="Inspección","□ I-"&amp;COUNTIF($E$8:E32,"Inspección"),"REVISAR TIPO")))</f>
        <v/>
      </c>
      <c r="K32" s="5" t="str">
        <f t="shared" si="0"/>
        <v/>
      </c>
    </row>
    <row r="33" spans="1:11" ht="29" customHeight="1">
      <c r="A33" s="1"/>
      <c r="B33" s="1"/>
      <c r="C33" s="1"/>
      <c r="D33" s="3"/>
      <c r="E33" s="1"/>
      <c r="F33" s="1"/>
      <c r="G33" s="1"/>
      <c r="H33" s="3"/>
      <c r="I33" s="3"/>
      <c r="J33" s="4" t="str">
        <f>IF(D33="","",IF(E33="Operación","○ O-"&amp;COUNTIF($E$8:E33,"Operación"),IF(E33="Inspección","□ I-"&amp;COUNTIF($E$8:E33,"Inspección"),"REVISAR TIPO")))</f>
        <v/>
      </c>
      <c r="K33" s="5" t="str">
        <f t="shared" si="0"/>
        <v/>
      </c>
    </row>
    <row r="34" spans="1:11" ht="29" customHeight="1">
      <c r="A34" s="1"/>
      <c r="B34" s="1"/>
      <c r="C34" s="1"/>
      <c r="D34" s="3"/>
      <c r="E34" s="1"/>
      <c r="F34" s="1"/>
      <c r="G34" s="1"/>
      <c r="H34" s="3"/>
      <c r="I34" s="3"/>
      <c r="J34" s="4" t="str">
        <f>IF(D34="","",IF(E34="Operación","○ O-"&amp;COUNTIF($E$8:E34,"Operación"),IF(E34="Inspección","□ I-"&amp;COUNTIF($E$8:E34,"Inspección"),"REVISAR TIPO")))</f>
        <v/>
      </c>
      <c r="K34" s="5" t="str">
        <f t="shared" si="0"/>
        <v/>
      </c>
    </row>
    <row r="35" spans="1:11" ht="29" customHeight="1">
      <c r="A35" s="1"/>
      <c r="B35" s="1"/>
      <c r="C35" s="1"/>
      <c r="D35" s="3"/>
      <c r="E35" s="1"/>
      <c r="F35" s="1"/>
      <c r="G35" s="1"/>
      <c r="H35" s="3"/>
      <c r="I35" s="3"/>
      <c r="J35" s="4" t="str">
        <f>IF(D35="","",IF(E35="Operación","○ O-"&amp;COUNTIF($E$8:E35,"Operación"),IF(E35="Inspección","□ I-"&amp;COUNTIF($E$8:E35,"Inspección"),"REVISAR TIPO")))</f>
        <v/>
      </c>
      <c r="K35" s="5" t="str">
        <f t="shared" si="0"/>
        <v/>
      </c>
    </row>
    <row r="36" spans="1:11" ht="29" customHeight="1">
      <c r="A36" s="1"/>
      <c r="B36" s="1"/>
      <c r="C36" s="1"/>
      <c r="D36" s="3"/>
      <c r="E36" s="1"/>
      <c r="F36" s="1"/>
      <c r="G36" s="1"/>
      <c r="H36" s="3"/>
      <c r="I36" s="3"/>
      <c r="J36" s="4" t="str">
        <f>IF(D36="","",IF(E36="Operación","○ O-"&amp;COUNTIF($E$8:E36,"Operación"),IF(E36="Inspección","□ I-"&amp;COUNTIF($E$8:E36,"Inspección"),"REVISAR TIPO")))</f>
        <v/>
      </c>
      <c r="K36" s="5" t="str">
        <f t="shared" si="0"/>
        <v/>
      </c>
    </row>
    <row r="37" spans="1:11" ht="29" customHeight="1">
      <c r="A37" s="1"/>
      <c r="B37" s="1"/>
      <c r="C37" s="1"/>
      <c r="D37" s="3"/>
      <c r="E37" s="1"/>
      <c r="F37" s="1"/>
      <c r="G37" s="1"/>
      <c r="H37" s="3"/>
      <c r="I37" s="3"/>
      <c r="J37" s="4" t="str">
        <f>IF(D37="","",IF(E37="Operación","○ O-"&amp;COUNTIF($E$8:E37,"Operación"),IF(E37="Inspección","□ I-"&amp;COUNTIF($E$8:E37,"Inspección"),"REVISAR TIPO")))</f>
        <v/>
      </c>
      <c r="K37" s="5" t="str">
        <f t="shared" si="0"/>
        <v/>
      </c>
    </row>
    <row r="38" spans="1:11" ht="29" customHeight="1">
      <c r="A38" s="1"/>
      <c r="B38" s="1"/>
      <c r="C38" s="1"/>
      <c r="D38" s="3"/>
      <c r="E38" s="1"/>
      <c r="F38" s="1"/>
      <c r="G38" s="1"/>
      <c r="H38" s="3"/>
      <c r="I38" s="3"/>
      <c r="J38" s="4" t="str">
        <f>IF(D38="","",IF(E38="Operación","○ O-"&amp;COUNTIF($E$8:E38,"Operación"),IF(E38="Inspección","□ I-"&amp;COUNTIF($E$8:E38,"Inspección"),"REVISAR TIPO")))</f>
        <v/>
      </c>
      <c r="K38" s="5" t="str">
        <f t="shared" si="0"/>
        <v/>
      </c>
    </row>
    <row r="39" spans="1:11" ht="29" customHeight="1">
      <c r="A39" s="1"/>
      <c r="B39" s="1"/>
      <c r="C39" s="1"/>
      <c r="D39" s="3"/>
      <c r="E39" s="1"/>
      <c r="F39" s="1"/>
      <c r="G39" s="1"/>
      <c r="H39" s="3"/>
      <c r="I39" s="3"/>
      <c r="J39" s="4" t="str">
        <f>IF(D39="","",IF(E39="Operación","○ O-"&amp;COUNTIF($E$8:E39,"Operación"),IF(E39="Inspección","□ I-"&amp;COUNTIF($E$8:E39,"Inspección"),"REVISAR TIPO")))</f>
        <v/>
      </c>
      <c r="K39" s="5" t="str">
        <f t="shared" si="0"/>
        <v/>
      </c>
    </row>
    <row r="40" spans="1:11" ht="29" customHeight="1">
      <c r="A40" s="1"/>
      <c r="B40" s="1"/>
      <c r="C40" s="1"/>
      <c r="D40" s="3"/>
      <c r="E40" s="1"/>
      <c r="F40" s="1"/>
      <c r="G40" s="1"/>
      <c r="H40" s="3"/>
      <c r="I40" s="3"/>
      <c r="J40" s="4" t="str">
        <f>IF(D40="","",IF(E40="Operación","○ O-"&amp;COUNTIF($E$8:E40,"Operación"),IF(E40="Inspección","□ I-"&amp;COUNTIF($E$8:E40,"Inspección"),"REVISAR TIPO")))</f>
        <v/>
      </c>
      <c r="K40" s="5" t="str">
        <f t="shared" ref="K40:K71" si="1">IF(D40="","",J40&amp;"  "&amp;D40&amp;"  ("&amp;IF(G40="","?",G40)&amp;" min)"&amp;IF(H40="","","   → "&amp;H40))</f>
        <v/>
      </c>
    </row>
    <row r="41" spans="1:11" ht="29" customHeight="1">
      <c r="A41" s="1"/>
      <c r="B41" s="1"/>
      <c r="C41" s="1"/>
      <c r="D41" s="3"/>
      <c r="E41" s="1"/>
      <c r="F41" s="1"/>
      <c r="G41" s="1"/>
      <c r="H41" s="3"/>
      <c r="I41" s="3"/>
      <c r="J41" s="4" t="str">
        <f>IF(D41="","",IF(E41="Operación","○ O-"&amp;COUNTIF($E$8:E41,"Operación"),IF(E41="Inspección","□ I-"&amp;COUNTIF($E$8:E41,"Inspección"),"REVISAR TIPO")))</f>
        <v/>
      </c>
      <c r="K41" s="5" t="str">
        <f t="shared" si="1"/>
        <v/>
      </c>
    </row>
    <row r="42" spans="1:11" ht="29" customHeight="1">
      <c r="A42" s="1"/>
      <c r="B42" s="1"/>
      <c r="C42" s="1"/>
      <c r="D42" s="3"/>
      <c r="E42" s="1"/>
      <c r="F42" s="1"/>
      <c r="G42" s="1"/>
      <c r="H42" s="3"/>
      <c r="I42" s="3"/>
      <c r="J42" s="4" t="str">
        <f>IF(D42="","",IF(E42="Operación","○ O-"&amp;COUNTIF($E$8:E42,"Operación"),IF(E42="Inspección","□ I-"&amp;COUNTIF($E$8:E42,"Inspección"),"REVISAR TIPO")))</f>
        <v/>
      </c>
      <c r="K42" s="5" t="str">
        <f t="shared" si="1"/>
        <v/>
      </c>
    </row>
    <row r="43" spans="1:11" ht="29" customHeight="1">
      <c r="A43" s="1"/>
      <c r="B43" s="1"/>
      <c r="C43" s="1"/>
      <c r="D43" s="3"/>
      <c r="E43" s="1"/>
      <c r="F43" s="1"/>
      <c r="G43" s="1"/>
      <c r="H43" s="3"/>
      <c r="I43" s="3"/>
      <c r="J43" s="4" t="str">
        <f>IF(D43="","",IF(E43="Operación","○ O-"&amp;COUNTIF($E$8:E43,"Operación"),IF(E43="Inspección","□ I-"&amp;COUNTIF($E$8:E43,"Inspección"),"REVISAR TIPO")))</f>
        <v/>
      </c>
      <c r="K43" s="5" t="str">
        <f t="shared" si="1"/>
        <v/>
      </c>
    </row>
    <row r="44" spans="1:11" ht="29" customHeight="1">
      <c r="A44" s="1"/>
      <c r="B44" s="1"/>
      <c r="C44" s="1"/>
      <c r="D44" s="3"/>
      <c r="E44" s="1"/>
      <c r="F44" s="1"/>
      <c r="G44" s="1"/>
      <c r="H44" s="3"/>
      <c r="I44" s="3"/>
      <c r="J44" s="4" t="str">
        <f>IF(D44="","",IF(E44="Operación","○ O-"&amp;COUNTIF($E$8:E44,"Operación"),IF(E44="Inspección","□ I-"&amp;COUNTIF($E$8:E44,"Inspección"),"REVISAR TIPO")))</f>
        <v/>
      </c>
      <c r="K44" s="5" t="str">
        <f t="shared" si="1"/>
        <v/>
      </c>
    </row>
    <row r="45" spans="1:11" ht="29" customHeight="1">
      <c r="A45" s="1"/>
      <c r="B45" s="1"/>
      <c r="C45" s="1"/>
      <c r="D45" s="3"/>
      <c r="E45" s="1"/>
      <c r="F45" s="1"/>
      <c r="G45" s="1"/>
      <c r="H45" s="3"/>
      <c r="I45" s="3"/>
      <c r="J45" s="4" t="str">
        <f>IF(D45="","",IF(E45="Operación","○ O-"&amp;COUNTIF($E$8:E45,"Operación"),IF(E45="Inspección","□ I-"&amp;COUNTIF($E$8:E45,"Inspección"),"REVISAR TIPO")))</f>
        <v/>
      </c>
      <c r="K45" s="5" t="str">
        <f t="shared" si="1"/>
        <v/>
      </c>
    </row>
    <row r="46" spans="1:11" ht="29" customHeight="1">
      <c r="A46" s="1"/>
      <c r="B46" s="1"/>
      <c r="C46" s="1"/>
      <c r="D46" s="3"/>
      <c r="E46" s="1"/>
      <c r="F46" s="1"/>
      <c r="G46" s="1"/>
      <c r="H46" s="3"/>
      <c r="I46" s="3"/>
      <c r="J46" s="4" t="str">
        <f>IF(D46="","",IF(E46="Operación","○ O-"&amp;COUNTIF($E$8:E46,"Operación"),IF(E46="Inspección","□ I-"&amp;COUNTIF($E$8:E46,"Inspección"),"REVISAR TIPO")))</f>
        <v/>
      </c>
      <c r="K46" s="5" t="str">
        <f t="shared" si="1"/>
        <v/>
      </c>
    </row>
    <row r="47" spans="1:11" ht="29" customHeight="1">
      <c r="A47" s="1"/>
      <c r="B47" s="1"/>
      <c r="C47" s="1"/>
      <c r="D47" s="3"/>
      <c r="E47" s="1"/>
      <c r="F47" s="1"/>
      <c r="G47" s="1"/>
      <c r="H47" s="3"/>
      <c r="I47" s="3"/>
      <c r="J47" s="4" t="str">
        <f>IF(D47="","",IF(E47="Operación","○ O-"&amp;COUNTIF($E$8:E47,"Operación"),IF(E47="Inspección","□ I-"&amp;COUNTIF($E$8:E47,"Inspección"),"REVISAR TIPO")))</f>
        <v/>
      </c>
      <c r="K47" s="5" t="str">
        <f t="shared" si="1"/>
        <v/>
      </c>
    </row>
    <row r="48" spans="1:11" ht="29" customHeight="1">
      <c r="A48" s="1"/>
      <c r="B48" s="1"/>
      <c r="C48" s="1"/>
      <c r="D48" s="3"/>
      <c r="E48" s="1"/>
      <c r="F48" s="1"/>
      <c r="G48" s="1"/>
      <c r="H48" s="3"/>
      <c r="I48" s="3"/>
      <c r="J48" s="4" t="str">
        <f>IF(D48="","",IF(E48="Operación","○ O-"&amp;COUNTIF($E$8:E48,"Operación"),IF(E48="Inspección","□ I-"&amp;COUNTIF($E$8:E48,"Inspección"),"REVISAR TIPO")))</f>
        <v/>
      </c>
      <c r="K48" s="5" t="str">
        <f t="shared" si="1"/>
        <v/>
      </c>
    </row>
    <row r="49" spans="1:11" ht="29" customHeight="1">
      <c r="A49" s="1"/>
      <c r="B49" s="1"/>
      <c r="C49" s="1"/>
      <c r="D49" s="3"/>
      <c r="E49" s="1"/>
      <c r="F49" s="1"/>
      <c r="G49" s="1"/>
      <c r="H49" s="3"/>
      <c r="I49" s="3"/>
      <c r="J49" s="4" t="str">
        <f>IF(D49="","",IF(E49="Operación","○ O-"&amp;COUNTIF($E$8:E49,"Operación"),IF(E49="Inspección","□ I-"&amp;COUNTIF($E$8:E49,"Inspección"),"REVISAR TIPO")))</f>
        <v/>
      </c>
      <c r="K49" s="5" t="str">
        <f t="shared" si="1"/>
        <v/>
      </c>
    </row>
    <row r="50" spans="1:11" ht="29" customHeight="1">
      <c r="A50" s="1"/>
      <c r="B50" s="1"/>
      <c r="C50" s="1"/>
      <c r="D50" s="3"/>
      <c r="E50" s="1"/>
      <c r="F50" s="1"/>
      <c r="G50" s="1"/>
      <c r="H50" s="3"/>
      <c r="I50" s="3"/>
      <c r="J50" s="4" t="str">
        <f>IF(D50="","",IF(E50="Operación","○ O-"&amp;COUNTIF($E$8:E50,"Operación"),IF(E50="Inspección","□ I-"&amp;COUNTIF($E$8:E50,"Inspección"),"REVISAR TIPO")))</f>
        <v/>
      </c>
      <c r="K50" s="5" t="str">
        <f t="shared" si="1"/>
        <v/>
      </c>
    </row>
    <row r="51" spans="1:11" ht="29" customHeight="1">
      <c r="A51" s="1"/>
      <c r="B51" s="1"/>
      <c r="C51" s="1"/>
      <c r="D51" s="3"/>
      <c r="E51" s="1"/>
      <c r="F51" s="1"/>
      <c r="G51" s="1"/>
      <c r="H51" s="3"/>
      <c r="I51" s="3"/>
      <c r="J51" s="4" t="str">
        <f>IF(D51="","",IF(E51="Operación","○ O-"&amp;COUNTIF($E$8:E51,"Operación"),IF(E51="Inspección","□ I-"&amp;COUNTIF($E$8:E51,"Inspección"),"REVISAR TIPO")))</f>
        <v/>
      </c>
      <c r="K51" s="5" t="str">
        <f t="shared" si="1"/>
        <v/>
      </c>
    </row>
    <row r="52" spans="1:11" ht="29" customHeight="1">
      <c r="A52" s="1"/>
      <c r="B52" s="1"/>
      <c r="C52" s="1"/>
      <c r="D52" s="3"/>
      <c r="E52" s="1"/>
      <c r="F52" s="1"/>
      <c r="G52" s="1"/>
      <c r="H52" s="3"/>
      <c r="I52" s="3"/>
      <c r="J52" s="4" t="str">
        <f>IF(D52="","",IF(E52="Operación","○ O-"&amp;COUNTIF($E$8:E52,"Operación"),IF(E52="Inspección","□ I-"&amp;COUNTIF($E$8:E52,"Inspección"),"REVISAR TIPO")))</f>
        <v/>
      </c>
      <c r="K52" s="5" t="str">
        <f t="shared" si="1"/>
        <v/>
      </c>
    </row>
    <row r="53" spans="1:11" ht="29" customHeight="1">
      <c r="A53" s="1"/>
      <c r="B53" s="1"/>
      <c r="C53" s="1"/>
      <c r="D53" s="3"/>
      <c r="E53" s="1"/>
      <c r="F53" s="1"/>
      <c r="G53" s="1"/>
      <c r="H53" s="3"/>
      <c r="I53" s="3"/>
      <c r="J53" s="4" t="str">
        <f>IF(D53="","",IF(E53="Operación","○ O-"&amp;COUNTIF($E$8:E53,"Operación"),IF(E53="Inspección","□ I-"&amp;COUNTIF($E$8:E53,"Inspección"),"REVISAR TIPO")))</f>
        <v/>
      </c>
      <c r="K53" s="5" t="str">
        <f t="shared" si="1"/>
        <v/>
      </c>
    </row>
    <row r="54" spans="1:11" ht="29" customHeight="1">
      <c r="A54" s="1"/>
      <c r="B54" s="1"/>
      <c r="C54" s="1"/>
      <c r="D54" s="3"/>
      <c r="E54" s="1"/>
      <c r="F54" s="1"/>
      <c r="G54" s="1"/>
      <c r="H54" s="3"/>
      <c r="I54" s="3"/>
      <c r="J54" s="4" t="str">
        <f>IF(D54="","",IF(E54="Operación","○ O-"&amp;COUNTIF($E$8:E54,"Operación"),IF(E54="Inspección","□ I-"&amp;COUNTIF($E$8:E54,"Inspección"),"REVISAR TIPO")))</f>
        <v/>
      </c>
      <c r="K54" s="5" t="str">
        <f t="shared" si="1"/>
        <v/>
      </c>
    </row>
    <row r="55" spans="1:11" ht="29" customHeight="1">
      <c r="A55" s="1"/>
      <c r="B55" s="1"/>
      <c r="C55" s="1"/>
      <c r="D55" s="3"/>
      <c r="E55" s="1"/>
      <c r="F55" s="1"/>
      <c r="G55" s="1"/>
      <c r="H55" s="3"/>
      <c r="I55" s="3"/>
      <c r="J55" s="4" t="str">
        <f>IF(D55="","",IF(E55="Operación","○ O-"&amp;COUNTIF($E$8:E55,"Operación"),IF(E55="Inspección","□ I-"&amp;COUNTIF($E$8:E55,"Inspección"),"REVISAR TIPO")))</f>
        <v/>
      </c>
      <c r="K55" s="5" t="str">
        <f t="shared" si="1"/>
        <v/>
      </c>
    </row>
    <row r="56" spans="1:11" ht="29" customHeight="1">
      <c r="A56" s="1"/>
      <c r="B56" s="1"/>
      <c r="C56" s="1"/>
      <c r="D56" s="3"/>
      <c r="E56" s="1"/>
      <c r="F56" s="1"/>
      <c r="G56" s="1"/>
      <c r="H56" s="3"/>
      <c r="I56" s="3"/>
      <c r="J56" s="4" t="str">
        <f>IF(D56="","",IF(E56="Operación","○ O-"&amp;COUNTIF($E$8:E56,"Operación"),IF(E56="Inspección","□ I-"&amp;COUNTIF($E$8:E56,"Inspección"),"REVISAR TIPO")))</f>
        <v/>
      </c>
      <c r="K56" s="5" t="str">
        <f t="shared" si="1"/>
        <v/>
      </c>
    </row>
    <row r="57" spans="1:11" ht="29" customHeight="1">
      <c r="A57" s="1"/>
      <c r="B57" s="1"/>
      <c r="C57" s="1"/>
      <c r="D57" s="3"/>
      <c r="E57" s="1"/>
      <c r="F57" s="1"/>
      <c r="G57" s="1"/>
      <c r="H57" s="3"/>
      <c r="I57" s="3"/>
      <c r="J57" s="4" t="str">
        <f>IF(D57="","",IF(E57="Operación","○ O-"&amp;COUNTIF($E$8:E57,"Operación"),IF(E57="Inspección","□ I-"&amp;COUNTIF($E$8:E57,"Inspección"),"REVISAR TIPO")))</f>
        <v/>
      </c>
      <c r="K57" s="5" t="str">
        <f t="shared" si="1"/>
        <v/>
      </c>
    </row>
    <row r="58" spans="1:11" ht="29" customHeight="1">
      <c r="A58" s="1"/>
      <c r="B58" s="1"/>
      <c r="C58" s="1"/>
      <c r="D58" s="3"/>
      <c r="E58" s="1"/>
      <c r="F58" s="1"/>
      <c r="G58" s="1"/>
      <c r="H58" s="3"/>
      <c r="I58" s="3"/>
      <c r="J58" s="4" t="str">
        <f>IF(D58="","",IF(E58="Operación","○ O-"&amp;COUNTIF($E$8:E58,"Operación"),IF(E58="Inspección","□ I-"&amp;COUNTIF($E$8:E58,"Inspección"),"REVISAR TIPO")))</f>
        <v/>
      </c>
      <c r="K58" s="5" t="str">
        <f t="shared" si="1"/>
        <v/>
      </c>
    </row>
    <row r="59" spans="1:11" ht="29" customHeight="1">
      <c r="A59" s="1"/>
      <c r="B59" s="1"/>
      <c r="C59" s="1"/>
      <c r="D59" s="3"/>
      <c r="E59" s="1"/>
      <c r="F59" s="1"/>
      <c r="G59" s="1"/>
      <c r="H59" s="3"/>
      <c r="I59" s="3"/>
      <c r="J59" s="4" t="str">
        <f>IF(D59="","",IF(E59="Operación","○ O-"&amp;COUNTIF($E$8:E59,"Operación"),IF(E59="Inspección","□ I-"&amp;COUNTIF($E$8:E59,"Inspección"),"REVISAR TIPO")))</f>
        <v/>
      </c>
      <c r="K59" s="5" t="str">
        <f t="shared" si="1"/>
        <v/>
      </c>
    </row>
    <row r="60" spans="1:11" ht="29" customHeight="1">
      <c r="A60" s="1"/>
      <c r="B60" s="1"/>
      <c r="C60" s="1"/>
      <c r="D60" s="3"/>
      <c r="E60" s="1"/>
      <c r="F60" s="1"/>
      <c r="G60" s="1"/>
      <c r="H60" s="3"/>
      <c r="I60" s="3"/>
      <c r="J60" s="4" t="str">
        <f>IF(D60="","",IF(E60="Operación","○ O-"&amp;COUNTIF($E$8:E60,"Operación"),IF(E60="Inspección","□ I-"&amp;COUNTIF($E$8:E60,"Inspección"),"REVISAR TIPO")))</f>
        <v/>
      </c>
      <c r="K60" s="5" t="str">
        <f t="shared" si="1"/>
        <v/>
      </c>
    </row>
    <row r="61" spans="1:11" ht="29" customHeight="1">
      <c r="A61" s="1"/>
      <c r="B61" s="1"/>
      <c r="C61" s="1"/>
      <c r="D61" s="3"/>
      <c r="E61" s="1"/>
      <c r="F61" s="1"/>
      <c r="G61" s="1"/>
      <c r="H61" s="3"/>
      <c r="I61" s="3"/>
      <c r="J61" s="4" t="str">
        <f>IF(D61="","",IF(E61="Operación","○ O-"&amp;COUNTIF($E$8:E61,"Operación"),IF(E61="Inspección","□ I-"&amp;COUNTIF($E$8:E61,"Inspección"),"REVISAR TIPO")))</f>
        <v/>
      </c>
      <c r="K61" s="5" t="str">
        <f t="shared" si="1"/>
        <v/>
      </c>
    </row>
    <row r="62" spans="1:11" ht="29" customHeight="1">
      <c r="A62" s="1"/>
      <c r="B62" s="1"/>
      <c r="C62" s="1"/>
      <c r="D62" s="3"/>
      <c r="E62" s="1"/>
      <c r="F62" s="1"/>
      <c r="G62" s="1"/>
      <c r="H62" s="3"/>
      <c r="I62" s="3"/>
      <c r="J62" s="4" t="str">
        <f>IF(D62="","",IF(E62="Operación","○ O-"&amp;COUNTIF($E$8:E62,"Operación"),IF(E62="Inspección","□ I-"&amp;COUNTIF($E$8:E62,"Inspección"),"REVISAR TIPO")))</f>
        <v/>
      </c>
      <c r="K62" s="5" t="str">
        <f t="shared" si="1"/>
        <v/>
      </c>
    </row>
    <row r="63" spans="1:11" ht="29" customHeight="1">
      <c r="A63" s="1"/>
      <c r="B63" s="1"/>
      <c r="C63" s="1"/>
      <c r="D63" s="3"/>
      <c r="E63" s="1"/>
      <c r="F63" s="1"/>
      <c r="G63" s="1"/>
      <c r="H63" s="3"/>
      <c r="I63" s="3"/>
      <c r="J63" s="4" t="str">
        <f>IF(D63="","",IF(E63="Operación","○ O-"&amp;COUNTIF($E$8:E63,"Operación"),IF(E63="Inspección","□ I-"&amp;COUNTIF($E$8:E63,"Inspección"),"REVISAR TIPO")))</f>
        <v/>
      </c>
      <c r="K63" s="5" t="str">
        <f t="shared" si="1"/>
        <v/>
      </c>
    </row>
    <row r="64" spans="1:11" ht="29" customHeight="1">
      <c r="A64" s="1"/>
      <c r="B64" s="1"/>
      <c r="C64" s="1"/>
      <c r="D64" s="3"/>
      <c r="E64" s="1"/>
      <c r="F64" s="1"/>
      <c r="G64" s="1"/>
      <c r="H64" s="3"/>
      <c r="I64" s="3"/>
      <c r="J64" s="4" t="str">
        <f>IF(D64="","",IF(E64="Operación","○ O-"&amp;COUNTIF($E$8:E64,"Operación"),IF(E64="Inspección","□ I-"&amp;COUNTIF($E$8:E64,"Inspección"),"REVISAR TIPO")))</f>
        <v/>
      </c>
      <c r="K64" s="5" t="str">
        <f t="shared" si="1"/>
        <v/>
      </c>
    </row>
    <row r="65" spans="1:11" ht="29" customHeight="1">
      <c r="A65" s="1"/>
      <c r="B65" s="1"/>
      <c r="C65" s="1"/>
      <c r="D65" s="3"/>
      <c r="E65" s="1"/>
      <c r="F65" s="1"/>
      <c r="G65" s="1"/>
      <c r="H65" s="3"/>
      <c r="I65" s="3"/>
      <c r="J65" s="4" t="str">
        <f>IF(D65="","",IF(E65="Operación","○ O-"&amp;COUNTIF($E$8:E65,"Operación"),IF(E65="Inspección","□ I-"&amp;COUNTIF($E$8:E65,"Inspección"),"REVISAR TIPO")))</f>
        <v/>
      </c>
      <c r="K65" s="5" t="str">
        <f t="shared" si="1"/>
        <v/>
      </c>
    </row>
    <row r="66" spans="1:11" ht="29" customHeight="1">
      <c r="A66" s="1"/>
      <c r="B66" s="1"/>
      <c r="C66" s="1"/>
      <c r="D66" s="3"/>
      <c r="E66" s="1"/>
      <c r="F66" s="1"/>
      <c r="G66" s="1"/>
      <c r="H66" s="3"/>
      <c r="I66" s="3"/>
      <c r="J66" s="4" t="str">
        <f>IF(D66="","",IF(E66="Operación","○ O-"&amp;COUNTIF($E$8:E66,"Operación"),IF(E66="Inspección","□ I-"&amp;COUNTIF($E$8:E66,"Inspección"),"REVISAR TIPO")))</f>
        <v/>
      </c>
      <c r="K66" s="5" t="str">
        <f t="shared" si="1"/>
        <v/>
      </c>
    </row>
    <row r="67" spans="1:11" ht="29" customHeight="1">
      <c r="A67" s="1"/>
      <c r="B67" s="1"/>
      <c r="C67" s="1"/>
      <c r="D67" s="3"/>
      <c r="E67" s="1"/>
      <c r="F67" s="1"/>
      <c r="G67" s="1"/>
      <c r="H67" s="3"/>
      <c r="I67" s="3"/>
      <c r="J67" s="4" t="str">
        <f>IF(D67="","",IF(E67="Operación","○ O-"&amp;COUNTIF($E$8:E67,"Operación"),IF(E67="Inspección","□ I-"&amp;COUNTIF($E$8:E67,"Inspección"),"REVISAR TIPO")))</f>
        <v/>
      </c>
      <c r="K67" s="5" t="str">
        <f t="shared" si="1"/>
        <v/>
      </c>
    </row>
    <row r="68" spans="1:11" ht="29" customHeight="1">
      <c r="A68" s="1"/>
      <c r="B68" s="1"/>
      <c r="C68" s="1"/>
      <c r="D68" s="3"/>
      <c r="E68" s="1"/>
      <c r="F68" s="1"/>
      <c r="G68" s="1"/>
      <c r="H68" s="3"/>
      <c r="I68" s="3"/>
      <c r="J68" s="4" t="str">
        <f>IF(D68="","",IF(E68="Operación","○ O-"&amp;COUNTIF($E$8:E68,"Operación"),IF(E68="Inspección","□ I-"&amp;COUNTIF($E$8:E68,"Inspección"),"REVISAR TIPO")))</f>
        <v/>
      </c>
      <c r="K68" s="5" t="str">
        <f t="shared" si="1"/>
        <v/>
      </c>
    </row>
    <row r="69" spans="1:11" ht="29" customHeight="1">
      <c r="A69" s="1"/>
      <c r="B69" s="1"/>
      <c r="C69" s="1"/>
      <c r="D69" s="3"/>
      <c r="E69" s="1"/>
      <c r="F69" s="1"/>
      <c r="G69" s="1"/>
      <c r="H69" s="3"/>
      <c r="I69" s="3"/>
      <c r="J69" s="4" t="str">
        <f>IF(D69="","",IF(E69="Operación","○ O-"&amp;COUNTIF($E$8:E69,"Operación"),IF(E69="Inspección","□ I-"&amp;COUNTIF($E$8:E69,"Inspección"),"REVISAR TIPO")))</f>
        <v/>
      </c>
      <c r="K69" s="5" t="str">
        <f t="shared" si="1"/>
        <v/>
      </c>
    </row>
    <row r="70" spans="1:11" ht="29" customHeight="1">
      <c r="A70" s="1"/>
      <c r="B70" s="1"/>
      <c r="C70" s="1"/>
      <c r="D70" s="3"/>
      <c r="E70" s="1"/>
      <c r="F70" s="1"/>
      <c r="G70" s="1"/>
      <c r="H70" s="3"/>
      <c r="I70" s="3"/>
      <c r="J70" s="4" t="str">
        <f>IF(D70="","",IF(E70="Operación","○ O-"&amp;COUNTIF($E$8:E70,"Operación"),IF(E70="Inspección","□ I-"&amp;COUNTIF($E$8:E70,"Inspección"),"REVISAR TIPO")))</f>
        <v/>
      </c>
      <c r="K70" s="5" t="str">
        <f t="shared" si="1"/>
        <v/>
      </c>
    </row>
    <row r="71" spans="1:11" ht="29" customHeight="1">
      <c r="A71" s="1"/>
      <c r="B71" s="1"/>
      <c r="C71" s="1"/>
      <c r="D71" s="3"/>
      <c r="E71" s="1"/>
      <c r="F71" s="1"/>
      <c r="G71" s="1"/>
      <c r="H71" s="3"/>
      <c r="I71" s="3"/>
      <c r="J71" s="4" t="str">
        <f>IF(D71="","",IF(E71="Operación","○ O-"&amp;COUNTIF($E$8:E71,"Operación"),IF(E71="Inspección","□ I-"&amp;COUNTIF($E$8:E71,"Inspección"),"REVISAR TIPO")))</f>
        <v/>
      </c>
      <c r="K71" s="5" t="str">
        <f t="shared" si="1"/>
        <v/>
      </c>
    </row>
    <row r="72" spans="1:11" ht="29" customHeight="1">
      <c r="A72" s="1"/>
      <c r="B72" s="1"/>
      <c r="C72" s="1"/>
      <c r="D72" s="3"/>
      <c r="E72" s="1"/>
      <c r="F72" s="1"/>
      <c r="G72" s="1"/>
      <c r="H72" s="3"/>
      <c r="I72" s="3"/>
      <c r="J72" s="4" t="str">
        <f>IF(D72="","",IF(E72="Operación","○ O-"&amp;COUNTIF($E$8:E72,"Operación"),IF(E72="Inspección","□ I-"&amp;COUNTIF($E$8:E72,"Inspección"),"REVISAR TIPO")))</f>
        <v/>
      </c>
      <c r="K72" s="5" t="str">
        <f t="shared" ref="K72:K103" si="2">IF(D72="","",J72&amp;"  "&amp;D72&amp;"  ("&amp;IF(G72="","?",G72)&amp;" min)"&amp;IF(H72="","","   → "&amp;H72))</f>
        <v/>
      </c>
    </row>
    <row r="73" spans="1:11" ht="29" customHeight="1">
      <c r="A73" s="1"/>
      <c r="B73" s="1"/>
      <c r="C73" s="1"/>
      <c r="D73" s="3"/>
      <c r="E73" s="1"/>
      <c r="F73" s="1"/>
      <c r="G73" s="1"/>
      <c r="H73" s="3"/>
      <c r="I73" s="3"/>
      <c r="J73" s="4" t="str">
        <f>IF(D73="","",IF(E73="Operación","○ O-"&amp;COUNTIF($E$8:E73,"Operación"),IF(E73="Inspección","□ I-"&amp;COUNTIF($E$8:E73,"Inspección"),"REVISAR TIPO")))</f>
        <v/>
      </c>
      <c r="K73" s="5" t="str">
        <f t="shared" si="2"/>
        <v/>
      </c>
    </row>
    <row r="74" spans="1:11" ht="29" customHeight="1">
      <c r="A74" s="1"/>
      <c r="B74" s="1"/>
      <c r="C74" s="1"/>
      <c r="D74" s="3"/>
      <c r="E74" s="1"/>
      <c r="F74" s="1"/>
      <c r="G74" s="1"/>
      <c r="H74" s="3"/>
      <c r="I74" s="3"/>
      <c r="J74" s="4" t="str">
        <f>IF(D74="","",IF(E74="Operación","○ O-"&amp;COUNTIF($E$8:E74,"Operación"),IF(E74="Inspección","□ I-"&amp;COUNTIF($E$8:E74,"Inspección"),"REVISAR TIPO")))</f>
        <v/>
      </c>
      <c r="K74" s="5" t="str">
        <f t="shared" si="2"/>
        <v/>
      </c>
    </row>
    <row r="75" spans="1:11" ht="29" customHeight="1">
      <c r="A75" s="1"/>
      <c r="B75" s="1"/>
      <c r="C75" s="1"/>
      <c r="D75" s="3"/>
      <c r="E75" s="1"/>
      <c r="F75" s="1"/>
      <c r="G75" s="1"/>
      <c r="H75" s="3"/>
      <c r="I75" s="3"/>
      <c r="J75" s="4" t="str">
        <f>IF(D75="","",IF(E75="Operación","○ O-"&amp;COUNTIF($E$8:E75,"Operación"),IF(E75="Inspección","□ I-"&amp;COUNTIF($E$8:E75,"Inspección"),"REVISAR TIPO")))</f>
        <v/>
      </c>
      <c r="K75" s="5" t="str">
        <f t="shared" si="2"/>
        <v/>
      </c>
    </row>
    <row r="76" spans="1:11" ht="29" customHeight="1">
      <c r="A76" s="1"/>
      <c r="B76" s="1"/>
      <c r="C76" s="1"/>
      <c r="D76" s="3"/>
      <c r="E76" s="1"/>
      <c r="F76" s="1"/>
      <c r="G76" s="1"/>
      <c r="H76" s="3"/>
      <c r="I76" s="3"/>
      <c r="J76" s="4" t="str">
        <f>IF(D76="","",IF(E76="Operación","○ O-"&amp;COUNTIF($E$8:E76,"Operación"),IF(E76="Inspección","□ I-"&amp;COUNTIF($E$8:E76,"Inspección"),"REVISAR TIPO")))</f>
        <v/>
      </c>
      <c r="K76" s="5" t="str">
        <f t="shared" si="2"/>
        <v/>
      </c>
    </row>
    <row r="77" spans="1:11" ht="29" customHeight="1">
      <c r="A77" s="1"/>
      <c r="B77" s="1"/>
      <c r="C77" s="1"/>
      <c r="D77" s="3"/>
      <c r="E77" s="1"/>
      <c r="F77" s="1"/>
      <c r="G77" s="1"/>
      <c r="H77" s="3"/>
      <c r="I77" s="3"/>
      <c r="J77" s="4" t="str">
        <f>IF(D77="","",IF(E77="Operación","○ O-"&amp;COUNTIF($E$8:E77,"Operación"),IF(E77="Inspección","□ I-"&amp;COUNTIF($E$8:E77,"Inspección"),"REVISAR TIPO")))</f>
        <v/>
      </c>
      <c r="K77" s="5" t="str">
        <f t="shared" si="2"/>
        <v/>
      </c>
    </row>
    <row r="78" spans="1:11" ht="29" customHeight="1">
      <c r="A78" s="1"/>
      <c r="B78" s="1"/>
      <c r="C78" s="1"/>
      <c r="D78" s="3"/>
      <c r="E78" s="1"/>
      <c r="F78" s="1"/>
      <c r="G78" s="1"/>
      <c r="H78" s="3"/>
      <c r="I78" s="3"/>
      <c r="J78" s="4" t="str">
        <f>IF(D78="","",IF(E78="Operación","○ O-"&amp;COUNTIF($E$8:E78,"Operación"),IF(E78="Inspección","□ I-"&amp;COUNTIF($E$8:E78,"Inspección"),"REVISAR TIPO")))</f>
        <v/>
      </c>
      <c r="K78" s="5" t="str">
        <f t="shared" si="2"/>
        <v/>
      </c>
    </row>
    <row r="79" spans="1:11" ht="29" customHeight="1">
      <c r="A79" s="1"/>
      <c r="B79" s="1"/>
      <c r="C79" s="1"/>
      <c r="D79" s="3"/>
      <c r="E79" s="1"/>
      <c r="F79" s="1"/>
      <c r="G79" s="1"/>
      <c r="H79" s="3"/>
      <c r="I79" s="3"/>
      <c r="J79" s="4" t="str">
        <f>IF(D79="","",IF(E79="Operación","○ O-"&amp;COUNTIF($E$8:E79,"Operación"),IF(E79="Inspección","□ I-"&amp;COUNTIF($E$8:E79,"Inspección"),"REVISAR TIPO")))</f>
        <v/>
      </c>
      <c r="K79" s="5" t="str">
        <f t="shared" si="2"/>
        <v/>
      </c>
    </row>
    <row r="80" spans="1:11" ht="29" customHeight="1">
      <c r="A80" s="1"/>
      <c r="B80" s="1"/>
      <c r="C80" s="1"/>
      <c r="D80" s="3"/>
      <c r="E80" s="1"/>
      <c r="F80" s="1"/>
      <c r="G80" s="1"/>
      <c r="H80" s="3"/>
      <c r="I80" s="3"/>
      <c r="J80" s="4" t="str">
        <f>IF(D80="","",IF(E80="Operación","○ O-"&amp;COUNTIF($E$8:E80,"Operación"),IF(E80="Inspección","□ I-"&amp;COUNTIF($E$8:E80,"Inspección"),"REVISAR TIPO")))</f>
        <v/>
      </c>
      <c r="K80" s="5" t="str">
        <f t="shared" si="2"/>
        <v/>
      </c>
    </row>
    <row r="81" spans="1:11" ht="29" customHeight="1">
      <c r="A81" s="1"/>
      <c r="B81" s="1"/>
      <c r="C81" s="1"/>
      <c r="D81" s="3"/>
      <c r="E81" s="1"/>
      <c r="F81" s="1"/>
      <c r="G81" s="1"/>
      <c r="H81" s="3"/>
      <c r="I81" s="3"/>
      <c r="J81" s="4" t="str">
        <f>IF(D81="","",IF(E81="Operación","○ O-"&amp;COUNTIF($E$8:E81,"Operación"),IF(E81="Inspección","□ I-"&amp;COUNTIF($E$8:E81,"Inspección"),"REVISAR TIPO")))</f>
        <v/>
      </c>
      <c r="K81" s="5" t="str">
        <f t="shared" si="2"/>
        <v/>
      </c>
    </row>
    <row r="82" spans="1:11" ht="29" customHeight="1">
      <c r="A82" s="1"/>
      <c r="B82" s="1"/>
      <c r="C82" s="1"/>
      <c r="D82" s="3"/>
      <c r="E82" s="1"/>
      <c r="F82" s="1"/>
      <c r="G82" s="1"/>
      <c r="H82" s="3"/>
      <c r="I82" s="3"/>
      <c r="J82" s="4" t="str">
        <f>IF(D82="","",IF(E82="Operación","○ O-"&amp;COUNTIF($E$8:E82,"Operación"),IF(E82="Inspección","□ I-"&amp;COUNTIF($E$8:E82,"Inspección"),"REVISAR TIPO")))</f>
        <v/>
      </c>
      <c r="K82" s="5" t="str">
        <f t="shared" si="2"/>
        <v/>
      </c>
    </row>
    <row r="83" spans="1:11" ht="29" customHeight="1">
      <c r="A83" s="1"/>
      <c r="B83" s="1"/>
      <c r="C83" s="1"/>
      <c r="D83" s="3"/>
      <c r="E83" s="1"/>
      <c r="F83" s="1"/>
      <c r="G83" s="1"/>
      <c r="H83" s="3"/>
      <c r="I83" s="3"/>
      <c r="J83" s="4" t="str">
        <f>IF(D83="","",IF(E83="Operación","○ O-"&amp;COUNTIF($E$8:E83,"Operación"),IF(E83="Inspección","□ I-"&amp;COUNTIF($E$8:E83,"Inspección"),"REVISAR TIPO")))</f>
        <v/>
      </c>
      <c r="K83" s="5" t="str">
        <f t="shared" si="2"/>
        <v/>
      </c>
    </row>
    <row r="84" spans="1:11" ht="29" customHeight="1">
      <c r="A84" s="1"/>
      <c r="B84" s="1"/>
      <c r="C84" s="1"/>
      <c r="D84" s="3"/>
      <c r="E84" s="1"/>
      <c r="F84" s="1"/>
      <c r="G84" s="1"/>
      <c r="H84" s="3"/>
      <c r="I84" s="3"/>
      <c r="J84" s="4" t="str">
        <f>IF(D84="","",IF(E84="Operación","○ O-"&amp;COUNTIF($E$8:E84,"Operación"),IF(E84="Inspección","□ I-"&amp;COUNTIF($E$8:E84,"Inspección"),"REVISAR TIPO")))</f>
        <v/>
      </c>
      <c r="K84" s="5" t="str">
        <f t="shared" si="2"/>
        <v/>
      </c>
    </row>
    <row r="85" spans="1:11" ht="29" customHeight="1">
      <c r="A85" s="1"/>
      <c r="B85" s="1"/>
      <c r="C85" s="1"/>
      <c r="D85" s="3"/>
      <c r="E85" s="1"/>
      <c r="F85" s="1"/>
      <c r="G85" s="1"/>
      <c r="H85" s="3"/>
      <c r="I85" s="3"/>
      <c r="J85" s="4" t="str">
        <f>IF(D85="","",IF(E85="Operación","○ O-"&amp;COUNTIF($E$8:E85,"Operación"),IF(E85="Inspección","□ I-"&amp;COUNTIF($E$8:E85,"Inspección"),"REVISAR TIPO")))</f>
        <v/>
      </c>
      <c r="K85" s="5" t="str">
        <f t="shared" si="2"/>
        <v/>
      </c>
    </row>
    <row r="86" spans="1:11" ht="29" customHeight="1">
      <c r="A86" s="1"/>
      <c r="B86" s="1"/>
      <c r="C86" s="1"/>
      <c r="D86" s="3"/>
      <c r="E86" s="1"/>
      <c r="F86" s="1"/>
      <c r="G86" s="1"/>
      <c r="H86" s="3"/>
      <c r="I86" s="3"/>
      <c r="J86" s="4" t="str">
        <f>IF(D86="","",IF(E86="Operación","○ O-"&amp;COUNTIF($E$8:E86,"Operación"),IF(E86="Inspección","□ I-"&amp;COUNTIF($E$8:E86,"Inspección"),"REVISAR TIPO")))</f>
        <v/>
      </c>
      <c r="K86" s="5" t="str">
        <f t="shared" si="2"/>
        <v/>
      </c>
    </row>
    <row r="87" spans="1:11" ht="29" customHeight="1">
      <c r="A87" s="1"/>
      <c r="B87" s="1"/>
      <c r="C87" s="1"/>
      <c r="D87" s="3"/>
      <c r="E87" s="1"/>
      <c r="F87" s="1"/>
      <c r="G87" s="1"/>
      <c r="H87" s="3"/>
      <c r="I87" s="3"/>
      <c r="J87" s="4" t="str">
        <f>IF(D87="","",IF(E87="Operación","○ O-"&amp;COUNTIF($E$8:E87,"Operación"),IF(E87="Inspección","□ I-"&amp;COUNTIF($E$8:E87,"Inspección"),"REVISAR TIPO")))</f>
        <v/>
      </c>
      <c r="K87" s="5" t="str">
        <f t="shared" si="2"/>
        <v/>
      </c>
    </row>
    <row r="88" spans="1:11" ht="29" customHeight="1">
      <c r="A88" s="1"/>
      <c r="B88" s="1"/>
      <c r="C88" s="1"/>
      <c r="D88" s="3"/>
      <c r="E88" s="1"/>
      <c r="F88" s="1"/>
      <c r="G88" s="1"/>
      <c r="H88" s="3"/>
      <c r="I88" s="3"/>
      <c r="J88" s="4" t="str">
        <f>IF(D88="","",IF(E88="Operación","○ O-"&amp;COUNTIF($E$8:E88,"Operación"),IF(E88="Inspección","□ I-"&amp;COUNTIF($E$8:E88,"Inspección"),"REVISAR TIPO")))</f>
        <v/>
      </c>
      <c r="K88" s="5" t="str">
        <f t="shared" si="2"/>
        <v/>
      </c>
    </row>
    <row r="89" spans="1:11" ht="29" customHeight="1">
      <c r="A89" s="1"/>
      <c r="B89" s="1"/>
      <c r="C89" s="1"/>
      <c r="D89" s="3"/>
      <c r="E89" s="1"/>
      <c r="F89" s="1"/>
      <c r="G89" s="1"/>
      <c r="H89" s="3"/>
      <c r="I89" s="3"/>
      <c r="J89" s="4" t="str">
        <f>IF(D89="","",IF(E89="Operación","○ O-"&amp;COUNTIF($E$8:E89,"Operación"),IF(E89="Inspección","□ I-"&amp;COUNTIF($E$8:E89,"Inspección"),"REVISAR TIPO")))</f>
        <v/>
      </c>
      <c r="K89" s="5" t="str">
        <f t="shared" si="2"/>
        <v/>
      </c>
    </row>
    <row r="90" spans="1:11" ht="29" customHeight="1">
      <c r="A90" s="1"/>
      <c r="B90" s="1"/>
      <c r="C90" s="1"/>
      <c r="D90" s="3"/>
      <c r="E90" s="1"/>
      <c r="F90" s="1"/>
      <c r="G90" s="1"/>
      <c r="H90" s="3"/>
      <c r="I90" s="3"/>
      <c r="J90" s="4" t="str">
        <f>IF(D90="","",IF(E90="Operación","○ O-"&amp;COUNTIF($E$8:E90,"Operación"),IF(E90="Inspección","□ I-"&amp;COUNTIF($E$8:E90,"Inspección"),"REVISAR TIPO")))</f>
        <v/>
      </c>
      <c r="K90" s="5" t="str">
        <f t="shared" si="2"/>
        <v/>
      </c>
    </row>
    <row r="91" spans="1:11" ht="29" customHeight="1">
      <c r="A91" s="1"/>
      <c r="B91" s="1"/>
      <c r="C91" s="1"/>
      <c r="D91" s="3"/>
      <c r="E91" s="1"/>
      <c r="F91" s="1"/>
      <c r="G91" s="1"/>
      <c r="H91" s="3"/>
      <c r="I91" s="3"/>
      <c r="J91" s="4" t="str">
        <f>IF(D91="","",IF(E91="Operación","○ O-"&amp;COUNTIF($E$8:E91,"Operación"),IF(E91="Inspección","□ I-"&amp;COUNTIF($E$8:E91,"Inspección"),"REVISAR TIPO")))</f>
        <v/>
      </c>
      <c r="K91" s="5" t="str">
        <f t="shared" si="2"/>
        <v/>
      </c>
    </row>
    <row r="92" spans="1:11" ht="29" customHeight="1">
      <c r="A92" s="1"/>
      <c r="B92" s="1"/>
      <c r="C92" s="1"/>
      <c r="D92" s="3"/>
      <c r="E92" s="1"/>
      <c r="F92" s="1"/>
      <c r="G92" s="1"/>
      <c r="H92" s="3"/>
      <c r="I92" s="3"/>
      <c r="J92" s="4" t="str">
        <f>IF(D92="","",IF(E92="Operación","○ O-"&amp;COUNTIF($E$8:E92,"Operación"),IF(E92="Inspección","□ I-"&amp;COUNTIF($E$8:E92,"Inspección"),"REVISAR TIPO")))</f>
        <v/>
      </c>
      <c r="K92" s="5" t="str">
        <f t="shared" si="2"/>
        <v/>
      </c>
    </row>
    <row r="93" spans="1:11" ht="29" customHeight="1">
      <c r="A93" s="1"/>
      <c r="B93" s="1"/>
      <c r="C93" s="1"/>
      <c r="D93" s="3"/>
      <c r="E93" s="1"/>
      <c r="F93" s="1"/>
      <c r="G93" s="1"/>
      <c r="H93" s="3"/>
      <c r="I93" s="3"/>
      <c r="J93" s="4" t="str">
        <f>IF(D93="","",IF(E93="Operación","○ O-"&amp;COUNTIF($E$8:E93,"Operación"),IF(E93="Inspección","□ I-"&amp;COUNTIF($E$8:E93,"Inspección"),"REVISAR TIPO")))</f>
        <v/>
      </c>
      <c r="K93" s="5" t="str">
        <f t="shared" si="2"/>
        <v/>
      </c>
    </row>
    <row r="94" spans="1:11" ht="29" customHeight="1">
      <c r="A94" s="1"/>
      <c r="B94" s="1"/>
      <c r="C94" s="1"/>
      <c r="D94" s="3"/>
      <c r="E94" s="1"/>
      <c r="F94" s="1"/>
      <c r="G94" s="1"/>
      <c r="H94" s="3"/>
      <c r="I94" s="3"/>
      <c r="J94" s="4" t="str">
        <f>IF(D94="","",IF(E94="Operación","○ O-"&amp;COUNTIF($E$8:E94,"Operación"),IF(E94="Inspección","□ I-"&amp;COUNTIF($E$8:E94,"Inspección"),"REVISAR TIPO")))</f>
        <v/>
      </c>
      <c r="K94" s="5" t="str">
        <f t="shared" si="2"/>
        <v/>
      </c>
    </row>
    <row r="95" spans="1:11" ht="29" customHeight="1">
      <c r="A95" s="1"/>
      <c r="B95" s="1"/>
      <c r="C95" s="1"/>
      <c r="D95" s="3"/>
      <c r="E95" s="1"/>
      <c r="F95" s="1"/>
      <c r="G95" s="1"/>
      <c r="H95" s="3"/>
      <c r="I95" s="3"/>
      <c r="J95" s="4" t="str">
        <f>IF(D95="","",IF(E95="Operación","○ O-"&amp;COUNTIF($E$8:E95,"Operación"),IF(E95="Inspección","□ I-"&amp;COUNTIF($E$8:E95,"Inspección"),"REVISAR TIPO")))</f>
        <v/>
      </c>
      <c r="K95" s="5" t="str">
        <f t="shared" si="2"/>
        <v/>
      </c>
    </row>
    <row r="96" spans="1:11" ht="29" customHeight="1">
      <c r="A96" s="1"/>
      <c r="B96" s="1"/>
      <c r="C96" s="1"/>
      <c r="D96" s="3"/>
      <c r="E96" s="1"/>
      <c r="F96" s="1"/>
      <c r="G96" s="1"/>
      <c r="H96" s="3"/>
      <c r="I96" s="3"/>
      <c r="J96" s="4" t="str">
        <f>IF(D96="","",IF(E96="Operación","○ O-"&amp;COUNTIF($E$8:E96,"Operación"),IF(E96="Inspección","□ I-"&amp;COUNTIF($E$8:E96,"Inspección"),"REVISAR TIPO")))</f>
        <v/>
      </c>
      <c r="K96" s="5" t="str">
        <f t="shared" si="2"/>
        <v/>
      </c>
    </row>
    <row r="97" spans="1:11" ht="29" customHeight="1">
      <c r="A97" s="1"/>
      <c r="B97" s="1"/>
      <c r="C97" s="1"/>
      <c r="D97" s="3"/>
      <c r="E97" s="1"/>
      <c r="F97" s="1"/>
      <c r="G97" s="1"/>
      <c r="H97" s="3"/>
      <c r="I97" s="3"/>
      <c r="J97" s="4" t="str">
        <f>IF(D97="","",IF(E97="Operación","○ O-"&amp;COUNTIF($E$8:E97,"Operación"),IF(E97="Inspección","□ I-"&amp;COUNTIF($E$8:E97,"Inspección"),"REVISAR TIPO")))</f>
        <v/>
      </c>
      <c r="K97" s="5" t="str">
        <f t="shared" si="2"/>
        <v/>
      </c>
    </row>
  </sheetData>
  <mergeCells count="2">
    <mergeCell ref="A1:K2"/>
    <mergeCell ref="A3:K3"/>
  </mergeCells>
  <dataValidations count="2">
    <dataValidation type="list" sqref="B8:B97" xr:uid="{00000000-0002-0000-0000-000000000000}">
      <formula1>"1,2,3,4,5,6"</formula1>
    </dataValidation>
    <dataValidation type="list" sqref="E8:E97" xr:uid="{00000000-0002-0000-0000-000001000000}">
      <formula1>"Operación,Inspección"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76C45-7125-42EF-B09D-C7EF861C4FC5}">
  <dimension ref="A1:H45"/>
  <sheetViews>
    <sheetView workbookViewId="0">
      <selection activeCell="E18" sqref="E18"/>
    </sheetView>
  </sheetViews>
  <sheetFormatPr baseColWidth="10" defaultColWidth="8.4140625" defaultRowHeight="14"/>
  <cols>
    <col min="1" max="3" width="13.08203125" customWidth="1"/>
    <col min="4" max="4" width="6" bestFit="1" customWidth="1"/>
    <col min="5" max="5" width="50.9140625" customWidth="1"/>
    <col min="6" max="6" width="10.83203125" customWidth="1"/>
    <col min="7" max="7" width="4.83203125" customWidth="1"/>
  </cols>
  <sheetData>
    <row r="1" spans="1:8" ht="23.25" customHeight="1">
      <c r="A1" s="9" t="s">
        <v>54</v>
      </c>
      <c r="B1" s="10"/>
      <c r="C1" s="10"/>
      <c r="D1" s="10"/>
      <c r="E1" s="10"/>
      <c r="F1" s="10"/>
      <c r="G1" s="11"/>
    </row>
    <row r="2" spans="1:8">
      <c r="A2" s="12"/>
      <c r="B2" s="12"/>
      <c r="C2" s="12"/>
      <c r="D2" s="13" t="s">
        <v>55</v>
      </c>
      <c r="E2" s="13" t="s">
        <v>56</v>
      </c>
      <c r="F2" s="14" t="s">
        <v>57</v>
      </c>
      <c r="G2" s="15"/>
      <c r="H2" s="16"/>
    </row>
    <row r="3" spans="1:8">
      <c r="A3" s="17"/>
      <c r="B3" s="17"/>
      <c r="C3" s="17"/>
      <c r="D3" s="18"/>
      <c r="E3" s="18"/>
      <c r="F3" s="13" t="s">
        <v>18</v>
      </c>
      <c r="G3" s="15"/>
    </row>
    <row r="4" spans="1:8">
      <c r="A4" s="19"/>
      <c r="B4" s="19"/>
      <c r="C4" s="19"/>
      <c r="D4" s="18"/>
      <c r="E4" s="18"/>
      <c r="F4" s="20"/>
      <c r="G4" s="15"/>
    </row>
    <row r="5" spans="1:8">
      <c r="A5" s="21"/>
      <c r="B5" s="21"/>
      <c r="C5" s="21"/>
      <c r="D5" s="18"/>
      <c r="E5" s="18"/>
      <c r="F5" s="20"/>
      <c r="G5" s="15"/>
    </row>
    <row r="6" spans="1:8">
      <c r="A6" s="22"/>
      <c r="B6" s="22"/>
      <c r="C6" s="22"/>
      <c r="D6" s="18"/>
      <c r="E6" s="18"/>
      <c r="F6" s="20"/>
      <c r="G6" s="15"/>
    </row>
    <row r="7" spans="1:8">
      <c r="A7" s="22"/>
      <c r="B7" s="22"/>
      <c r="C7" s="22"/>
      <c r="D7" s="18"/>
      <c r="E7" s="18"/>
      <c r="F7" s="13" t="s">
        <v>22</v>
      </c>
      <c r="G7" s="15"/>
    </row>
    <row r="8" spans="1:8">
      <c r="A8" s="22"/>
      <c r="B8" s="22"/>
      <c r="C8" s="22"/>
      <c r="D8" s="18"/>
      <c r="E8" s="18"/>
      <c r="F8" s="23"/>
      <c r="G8" s="15"/>
    </row>
    <row r="9" spans="1:8">
      <c r="A9" s="22"/>
      <c r="B9" s="22"/>
      <c r="C9" s="22"/>
      <c r="D9" s="18"/>
      <c r="E9" s="18"/>
      <c r="F9" s="23"/>
      <c r="G9" s="15"/>
    </row>
    <row r="10" spans="1:8">
      <c r="A10" s="22"/>
      <c r="B10" s="22"/>
      <c r="C10" s="22"/>
      <c r="D10" s="18"/>
      <c r="E10" s="18"/>
      <c r="F10" s="23"/>
      <c r="G10" s="15"/>
    </row>
    <row r="11" spans="1:8">
      <c r="A11" s="22"/>
      <c r="B11" s="22"/>
      <c r="C11" s="22"/>
      <c r="D11" s="18"/>
      <c r="E11" s="18"/>
      <c r="F11" s="14" t="s">
        <v>58</v>
      </c>
      <c r="G11" s="15"/>
    </row>
    <row r="12" spans="1:8">
      <c r="A12" s="22"/>
      <c r="B12" s="22"/>
      <c r="C12" s="22"/>
      <c r="D12" s="18"/>
      <c r="E12" s="18"/>
      <c r="F12" s="24"/>
      <c r="G12" s="15"/>
    </row>
    <row r="13" spans="1:8">
      <c r="A13" s="22"/>
      <c r="B13" s="22"/>
      <c r="C13" s="22"/>
      <c r="D13" s="18"/>
      <c r="E13" s="18"/>
      <c r="F13" s="25"/>
      <c r="G13" s="15"/>
    </row>
    <row r="14" spans="1:8" ht="15" customHeight="1">
      <c r="A14" s="22"/>
      <c r="B14" s="22"/>
      <c r="C14" s="22"/>
      <c r="D14" s="18"/>
      <c r="E14" s="18"/>
      <c r="F14" s="25"/>
      <c r="G14" s="15"/>
    </row>
    <row r="15" spans="1:8">
      <c r="A15" s="22"/>
      <c r="B15" s="22"/>
      <c r="C15" s="22"/>
      <c r="D15" s="18"/>
      <c r="E15" s="18"/>
      <c r="F15" s="25"/>
      <c r="G15" s="15"/>
    </row>
    <row r="16" spans="1:8">
      <c r="A16" s="22"/>
      <c r="B16" s="22"/>
      <c r="C16" s="22"/>
      <c r="D16" s="18"/>
      <c r="E16" s="18"/>
      <c r="F16" s="25"/>
      <c r="G16" s="15"/>
    </row>
    <row r="17" spans="1:7">
      <c r="A17" s="22"/>
      <c r="B17" s="22"/>
      <c r="C17" s="22"/>
      <c r="D17" s="18"/>
      <c r="E17" s="18"/>
      <c r="F17" s="26"/>
      <c r="G17" s="15"/>
    </row>
    <row r="18" spans="1:7">
      <c r="A18" s="22"/>
      <c r="B18" s="22"/>
      <c r="C18" s="22"/>
      <c r="D18" s="18"/>
      <c r="E18" s="18"/>
      <c r="F18" s="14" t="s">
        <v>59</v>
      </c>
      <c r="G18" s="15"/>
    </row>
    <row r="19" spans="1:7">
      <c r="A19" s="22"/>
      <c r="B19" s="22"/>
      <c r="C19" s="22"/>
      <c r="D19" s="18"/>
      <c r="E19" s="18"/>
      <c r="F19" s="27"/>
      <c r="G19" s="15"/>
    </row>
    <row r="20" spans="1:7">
      <c r="A20" s="22"/>
      <c r="B20" s="22"/>
      <c r="C20" s="22"/>
      <c r="D20" s="18"/>
      <c r="E20" s="18"/>
      <c r="F20" s="28"/>
      <c r="G20" s="15"/>
    </row>
    <row r="21" spans="1:7">
      <c r="A21" s="22"/>
      <c r="B21" s="22"/>
      <c r="C21" s="22"/>
      <c r="D21" s="18"/>
      <c r="E21" s="18"/>
      <c r="F21" s="14" t="s">
        <v>60</v>
      </c>
      <c r="G21" s="15"/>
    </row>
    <row r="22" spans="1:7">
      <c r="A22" s="22"/>
      <c r="B22" s="22"/>
      <c r="C22" s="22"/>
      <c r="D22" s="18"/>
      <c r="E22" s="18"/>
      <c r="F22" s="29"/>
      <c r="G22" s="15"/>
    </row>
    <row r="23" spans="1:7">
      <c r="A23" s="22"/>
      <c r="B23" s="22"/>
      <c r="C23" s="22"/>
      <c r="D23" s="18"/>
      <c r="E23" s="18"/>
      <c r="F23" s="30"/>
      <c r="G23" s="15"/>
    </row>
    <row r="24" spans="1:7">
      <c r="A24" s="22"/>
      <c r="B24" s="22"/>
      <c r="C24" s="22"/>
      <c r="D24" s="18"/>
      <c r="E24" s="18"/>
      <c r="F24" s="30"/>
      <c r="G24" s="15"/>
    </row>
    <row r="25" spans="1:7">
      <c r="A25" s="22"/>
      <c r="B25" s="22"/>
      <c r="C25" s="22"/>
      <c r="D25" s="18"/>
      <c r="E25" s="18"/>
      <c r="F25" s="30"/>
      <c r="G25" s="15"/>
    </row>
    <row r="26" spans="1:7">
      <c r="A26" s="22"/>
      <c r="B26" s="22"/>
      <c r="C26" s="22"/>
      <c r="D26" s="18"/>
      <c r="E26" s="18"/>
      <c r="F26" s="30"/>
      <c r="G26" s="15"/>
    </row>
    <row r="27" spans="1:7">
      <c r="A27" s="22"/>
      <c r="B27" s="22"/>
      <c r="C27" s="22"/>
      <c r="D27" s="18"/>
      <c r="E27" s="18"/>
      <c r="F27" s="30"/>
      <c r="G27" s="15"/>
    </row>
    <row r="28" spans="1:7">
      <c r="A28" s="22"/>
      <c r="B28" s="22"/>
      <c r="C28" s="22"/>
      <c r="D28" s="18"/>
      <c r="E28" s="18"/>
      <c r="F28" s="30"/>
      <c r="G28" s="15"/>
    </row>
    <row r="29" spans="1:7">
      <c r="A29" s="22"/>
      <c r="B29" s="22"/>
      <c r="C29" s="22"/>
      <c r="D29" s="18"/>
      <c r="E29" s="18"/>
      <c r="F29" s="30"/>
      <c r="G29" s="15"/>
    </row>
    <row r="30" spans="1:7">
      <c r="A30" s="22"/>
      <c r="B30" s="22"/>
      <c r="C30" s="22"/>
      <c r="D30" s="31"/>
      <c r="E30" s="32"/>
      <c r="F30" s="30"/>
      <c r="G30" s="15"/>
    </row>
    <row r="31" spans="1:7">
      <c r="A31" s="22"/>
      <c r="B31" s="22"/>
      <c r="C31" s="22"/>
      <c r="D31" s="33"/>
      <c r="E31" s="34"/>
      <c r="F31" s="30"/>
      <c r="G31" s="15"/>
    </row>
    <row r="32" spans="1:7">
      <c r="A32" s="22"/>
      <c r="B32" s="22"/>
      <c r="C32" s="22"/>
      <c r="D32" s="33"/>
      <c r="E32" s="34"/>
      <c r="F32" s="30"/>
      <c r="G32" s="15"/>
    </row>
    <row r="33" spans="1:7">
      <c r="A33" s="22"/>
      <c r="B33" s="22"/>
      <c r="C33" s="22"/>
      <c r="D33" s="33"/>
      <c r="E33" s="34"/>
      <c r="F33" s="30"/>
      <c r="G33" s="15"/>
    </row>
    <row r="34" spans="1:7">
      <c r="A34" s="22"/>
      <c r="B34" s="22"/>
      <c r="C34" s="22"/>
      <c r="D34" s="33"/>
      <c r="E34" s="34"/>
      <c r="F34" s="30"/>
      <c r="G34" s="15"/>
    </row>
    <row r="35" spans="1:7">
      <c r="A35" s="22"/>
      <c r="B35" s="22"/>
      <c r="C35" s="22"/>
      <c r="D35" s="33"/>
      <c r="E35" s="34"/>
      <c r="F35" s="30"/>
      <c r="G35" s="15"/>
    </row>
    <row r="36" spans="1:7">
      <c r="A36" s="22"/>
      <c r="B36" s="22"/>
      <c r="C36" s="22"/>
      <c r="D36" s="33"/>
      <c r="E36" s="34"/>
      <c r="F36" s="30"/>
      <c r="G36" s="15"/>
    </row>
    <row r="37" spans="1:7">
      <c r="A37" s="22"/>
      <c r="B37" s="22"/>
      <c r="C37" s="22"/>
      <c r="D37" s="33"/>
      <c r="E37" s="34"/>
      <c r="F37" s="30"/>
      <c r="G37" s="15"/>
    </row>
    <row r="38" spans="1:7">
      <c r="A38" s="22"/>
      <c r="B38" s="22"/>
      <c r="C38" s="22"/>
      <c r="D38" s="33"/>
      <c r="E38" s="34"/>
      <c r="F38" s="30"/>
      <c r="G38" s="15"/>
    </row>
    <row r="39" spans="1:7">
      <c r="A39" s="35"/>
      <c r="B39" s="35"/>
      <c r="C39" s="35"/>
      <c r="D39" s="36"/>
      <c r="E39" s="37"/>
      <c r="F39" s="38"/>
      <c r="G39" s="39"/>
    </row>
    <row r="41" spans="1:7" ht="14.5">
      <c r="A41" s="40" t="s">
        <v>61</v>
      </c>
      <c r="B41" s="40"/>
      <c r="C41" s="40"/>
    </row>
    <row r="42" spans="1:7" ht="14.5">
      <c r="A42" s="41" t="s">
        <v>62</v>
      </c>
      <c r="B42" s="41" t="s">
        <v>63</v>
      </c>
      <c r="C42" s="41" t="s">
        <v>64</v>
      </c>
    </row>
    <row r="43" spans="1:7">
      <c r="A43" s="42" t="s">
        <v>65</v>
      </c>
      <c r="B43" s="42"/>
      <c r="C43" s="42"/>
    </row>
    <row r="44" spans="1:7">
      <c r="A44" s="42" t="s">
        <v>66</v>
      </c>
      <c r="B44" s="42"/>
      <c r="C44" s="42"/>
    </row>
    <row r="45" spans="1:7">
      <c r="A45" s="42" t="s">
        <v>67</v>
      </c>
      <c r="B45" s="42"/>
      <c r="C45" s="42"/>
    </row>
  </sheetData>
  <mergeCells count="10">
    <mergeCell ref="A41:C41"/>
    <mergeCell ref="A1:F1"/>
    <mergeCell ref="G1:G39"/>
    <mergeCell ref="A2:A4"/>
    <mergeCell ref="B2:B4"/>
    <mergeCell ref="C2:C4"/>
    <mergeCell ref="F12:F17"/>
    <mergeCell ref="F19:F20"/>
    <mergeCell ref="F22:F39"/>
    <mergeCell ref="D30:E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SINOPTICO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Ruiz</dc:creator>
  <cp:lastModifiedBy>Vicky Milena  Ruiz Velasquez</cp:lastModifiedBy>
  <dcterms:created xsi:type="dcterms:W3CDTF">2026-10-20T13:56:02Z</dcterms:created>
  <dcterms:modified xsi:type="dcterms:W3CDTF">2026-10-20T13:56:02Z</dcterms:modified>
</cp:coreProperties>
</file>